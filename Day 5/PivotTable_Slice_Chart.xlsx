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1"/>
  <workbookPr/>
  <mc:AlternateContent xmlns:mc="http://schemas.openxmlformats.org/markup-compatibility/2006">
    <mc:Choice Requires="x15">
      <x15ac:absPath xmlns:x15ac="http://schemas.microsoft.com/office/spreadsheetml/2010/11/ac" url="C:\Users\Gadget 360\OneDrive\Desktop\New folder\"/>
    </mc:Choice>
  </mc:AlternateContent>
  <xr:revisionPtr revIDLastSave="0" documentId="8_{B4FD0472-1788-459E-947F-9F859B41E5E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F3" i="2" l="1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2" i="2" a="1"/>
  <c r="F2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D12" i="1" a="1"/>
  <c r="D12" i="1" s="1"/>
  <c r="D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<sst xmlns="http://schemas.openxmlformats.org/spreadsheetml/2006/main" count="229" uniqueCount="130">
  <si>
    <t>ID</t>
  </si>
  <si>
    <t>Name</t>
  </si>
  <si>
    <t>Course</t>
  </si>
  <si>
    <t>Fee</t>
  </si>
  <si>
    <t>Vlookup</t>
  </si>
  <si>
    <t>Xlookup</t>
  </si>
  <si>
    <t>index-match</t>
  </si>
  <si>
    <t>Rahim</t>
  </si>
  <si>
    <t>PLC</t>
  </si>
  <si>
    <t>Karim</t>
  </si>
  <si>
    <t>IoT</t>
  </si>
  <si>
    <t>Sumon</t>
  </si>
  <si>
    <t>AutoCAD</t>
  </si>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</sst>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7" x14ac:knownFonts="1">
    <font>
      <sz val="11"/>
      <color theme="1"/>
      <name val="Calibri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4" fontId="5" fillId="6" borderId="3" xfId="0" applyNumberFormat="1" applyFont="1" applyFill="1" applyBorder="1" applyAlignment="1">
      <alignment horizontal="center" vertical="center"/>
    </xf>
    <xf numFmtId="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5" xfId="0" applyBorder="1"/>
    <xf numFmtId="0" fontId="4" fillId="3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4" fillId="3" borderId="5" xfId="1" applyNumberFormat="1" applyFont="1" applyFill="1" applyBorder="1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0" fontId="0" fillId="0" borderId="6" xfId="0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165" fontId="0" fillId="0" borderId="2" xfId="1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workbookViewId="0"/>
  </sheetViews>
  <sheetFormatPr defaultColWidth="14.44140625" defaultRowHeight="15" customHeight="1" x14ac:dyDescent="0.3"/>
  <cols>
    <col min="1" max="4" width="18.6640625" customWidth="1"/>
    <col min="5" max="6" width="8.6640625" customWidth="1"/>
    <col min="7" max="7" width="20.33203125" customWidth="1"/>
    <col min="8" max="26" width="8.6640625" customWidth="1"/>
  </cols>
  <sheetData>
    <row r="1" spans="1:11" ht="1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H1" s="2" t="s">
        <v>4</v>
      </c>
      <c r="I1" s="2" t="s">
        <v>5</v>
      </c>
      <c r="J1" s="2" t="s">
        <v>6</v>
      </c>
    </row>
    <row r="2" spans="1:11" ht="18" customHeight="1" x14ac:dyDescent="0.3">
      <c r="A2" s="3">
        <v>101</v>
      </c>
      <c r="B2" s="3" t="s">
        <v>7</v>
      </c>
      <c r="C2" s="3" t="s">
        <v>8</v>
      </c>
      <c r="D2" s="3">
        <v>5000</v>
      </c>
    </row>
    <row r="3" spans="1:11" ht="18" customHeight="1" x14ac:dyDescent="0.3">
      <c r="A3" s="3">
        <v>102</v>
      </c>
      <c r="B3" s="3" t="s">
        <v>9</v>
      </c>
      <c r="C3" s="3" t="s">
        <v>10</v>
      </c>
      <c r="D3" s="3">
        <v>6000</v>
      </c>
    </row>
    <row r="4" spans="1:11" ht="18" customHeight="1" x14ac:dyDescent="0.3">
      <c r="A4" s="3">
        <v>103</v>
      </c>
      <c r="B4" s="3" t="s">
        <v>11</v>
      </c>
      <c r="C4" s="3" t="s">
        <v>12</v>
      </c>
      <c r="D4" s="3">
        <v>4000</v>
      </c>
      <c r="G4" s="2">
        <v>102</v>
      </c>
      <c r="H4" s="2">
        <v>6000</v>
      </c>
      <c r="J4" s="2">
        <v>6000</v>
      </c>
    </row>
    <row r="7" spans="1:11" ht="14.4" x14ac:dyDescent="0.3">
      <c r="I7" s="2" t="s">
        <v>11</v>
      </c>
      <c r="J7" s="2" t="s">
        <v>12</v>
      </c>
      <c r="K7" s="2">
        <v>4000</v>
      </c>
    </row>
    <row r="9" spans="1:11" ht="14.4" x14ac:dyDescent="0.3">
      <c r="D9" s="2">
        <f>MATCH(A3,A2:A4,0)</f>
        <v>2</v>
      </c>
    </row>
    <row r="12" spans="1:11" ht="14.4" x14ac:dyDescent="0.3">
      <c r="D12" s="2" t="str">
        <f t="array" ref="D12">INDEX(Sheet3!D2:D10,3)</f>
        <v>ComfortZone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abSelected="1" topLeftCell="E1" zoomScale="117" zoomScaleNormal="107" workbookViewId="0">
      <selection activeCell="G6" sqref="G6"/>
    </sheetView>
  </sheetViews>
  <sheetFormatPr defaultColWidth="14.44140625" defaultRowHeight="15" customHeight="1" x14ac:dyDescent="0.3"/>
  <cols>
    <col min="1" max="4" width="20.77734375" customWidth="1"/>
    <col min="5" max="5" width="20.77734375" style="13" customWidth="1"/>
    <col min="6" max="8" width="20.77734375" style="18" customWidth="1"/>
    <col min="9" max="9" width="20.77734375" style="20" customWidth="1"/>
    <col min="10" max="26" width="8.6640625" customWidth="1"/>
  </cols>
  <sheetData>
    <row r="1" spans="1:11" ht="18" customHeight="1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16" t="s">
        <v>18</v>
      </c>
      <c r="G1" s="16" t="s">
        <v>19</v>
      </c>
      <c r="H1" s="16" t="s">
        <v>20</v>
      </c>
      <c r="I1" s="19" t="s">
        <v>21</v>
      </c>
    </row>
    <row r="2" spans="1:11" ht="18" customHeight="1" x14ac:dyDescent="0.3">
      <c r="A2" s="5" t="s">
        <v>22</v>
      </c>
      <c r="B2" s="5" t="s">
        <v>23</v>
      </c>
      <c r="C2" s="5" t="s">
        <v>24</v>
      </c>
      <c r="D2" s="5" t="s">
        <v>25</v>
      </c>
      <c r="E2" s="11">
        <v>4</v>
      </c>
      <c r="F2" s="17" t="str" cm="1">
        <f t="array" ref="F2:H2">_xlfn.XLOOKUP(C2,Sheet3!$A$2:$A$11,Sheet3!$B$2:$D$11)</f>
        <v>Laptop Pro</v>
      </c>
      <c r="G2" s="17" t="str">
        <v>Electronics</v>
      </c>
      <c r="H2" s="18" t="str">
        <v>TechBrand</v>
      </c>
      <c r="I2" s="20">
        <f>_xlfn.XLOOKUP(C2,Sheet3!$A$2:$A$11,Sheet3!$E$2:$E$11)*Sheet2!E2</f>
        <v>220000</v>
      </c>
    </row>
    <row r="3" spans="1:11" ht="18" customHeight="1" x14ac:dyDescent="0.3">
      <c r="A3" s="6" t="s">
        <v>28</v>
      </c>
      <c r="B3" s="6" t="s">
        <v>29</v>
      </c>
      <c r="C3" s="6" t="s">
        <v>30</v>
      </c>
      <c r="D3" s="6" t="s">
        <v>31</v>
      </c>
      <c r="E3" s="12">
        <v>1</v>
      </c>
      <c r="F3" s="17" t="str" cm="1">
        <f t="array" ref="F3:H3">_xlfn.XLOOKUP(C3,Sheet3!$A$2:$A$11,Sheet3!$B$2:$D$11)</f>
        <v>Wireless Mouse</v>
      </c>
      <c r="G3" s="17" t="str">
        <v>Accessories</v>
      </c>
      <c r="H3" s="18" t="str">
        <v>TechBrand</v>
      </c>
      <c r="I3" s="20">
        <f>_xlfn.XLOOKUP(C3,Sheet3!$A$2:$A$11,Sheet3!$E$2:$E$11)*Sheet2!E3</f>
        <v>1200</v>
      </c>
    </row>
    <row r="4" spans="1:11" ht="18" customHeight="1" x14ac:dyDescent="0.3">
      <c r="A4" s="5" t="s">
        <v>34</v>
      </c>
      <c r="B4" s="5" t="s">
        <v>35</v>
      </c>
      <c r="C4" s="5" t="s">
        <v>36</v>
      </c>
      <c r="D4" s="5" t="s">
        <v>37</v>
      </c>
      <c r="E4" s="11">
        <v>9</v>
      </c>
      <c r="F4" s="17" t="str" cm="1">
        <f t="array" ref="F4:H4">_xlfn.XLOOKUP(C4,Sheet3!$A$2:$A$11,Sheet3!$B$2:$D$11)</f>
        <v>Office Chair</v>
      </c>
      <c r="G4" s="17" t="str">
        <v>Furniture</v>
      </c>
      <c r="H4" s="18" t="str">
        <v>ComfortZone</v>
      </c>
      <c r="I4" s="20">
        <f>_xlfn.XLOOKUP(C4,Sheet3!$A$2:$A$11,Sheet3!$E$2:$E$11)*Sheet2!E4</f>
        <v>135000</v>
      </c>
    </row>
    <row r="5" spans="1:11" ht="18" customHeight="1" x14ac:dyDescent="0.3">
      <c r="A5" s="6" t="s">
        <v>40</v>
      </c>
      <c r="B5" s="6" t="s">
        <v>41</v>
      </c>
      <c r="C5" s="6" t="s">
        <v>42</v>
      </c>
      <c r="D5" s="6" t="s">
        <v>43</v>
      </c>
      <c r="E5" s="12">
        <v>8</v>
      </c>
      <c r="F5" s="17" t="str" cm="1">
        <f t="array" ref="F5:H5">_xlfn.XLOOKUP(C5,Sheet3!$A$2:$A$11,Sheet3!$B$2:$D$11)</f>
        <v>Notebook Set</v>
      </c>
      <c r="G5" s="17" t="str">
        <v>Stationery</v>
      </c>
      <c r="H5" s="18" t="str">
        <v>WriteRight</v>
      </c>
      <c r="I5" s="20">
        <f>_xlfn.XLOOKUP(C5,Sheet3!$A$2:$A$11,Sheet3!$E$2:$E$11)*Sheet2!E5</f>
        <v>3600</v>
      </c>
    </row>
    <row r="6" spans="1:11" ht="18" customHeight="1" x14ac:dyDescent="0.3">
      <c r="A6" s="5" t="s">
        <v>46</v>
      </c>
      <c r="B6" s="5" t="s">
        <v>47</v>
      </c>
      <c r="C6" s="5" t="s">
        <v>48</v>
      </c>
      <c r="D6" s="5" t="s">
        <v>49</v>
      </c>
      <c r="E6" s="11">
        <v>8</v>
      </c>
      <c r="F6" s="17" t="str" cm="1">
        <f t="array" ref="F6:H6">_xlfn.XLOOKUP(C6,Sheet3!$A$2:$A$11,Sheet3!$B$2:$D$11)</f>
        <v>USB-C Hub</v>
      </c>
      <c r="G6" s="17" t="str">
        <v>Accessories</v>
      </c>
      <c r="H6" s="18" t="str">
        <v>TechBrand</v>
      </c>
      <c r="I6" s="20">
        <f>_xlfn.XLOOKUP(C6,Sheet3!$A$2:$A$11,Sheet3!$E$2:$E$11)*Sheet2!E6</f>
        <v>28000</v>
      </c>
    </row>
    <row r="7" spans="1:11" ht="18" customHeight="1" x14ac:dyDescent="0.3">
      <c r="A7" s="6" t="s">
        <v>51</v>
      </c>
      <c r="B7" s="6" t="s">
        <v>52</v>
      </c>
      <c r="C7" s="6" t="s">
        <v>53</v>
      </c>
      <c r="D7" s="6" t="s">
        <v>25</v>
      </c>
      <c r="E7" s="12">
        <v>5</v>
      </c>
      <c r="F7" s="17" t="str" cm="1">
        <f t="array" ref="F7:H7">_xlfn.XLOOKUP(C7,Sheet3!$A$2:$A$11,Sheet3!$B$2:$D$11)</f>
        <v>Standing Desk</v>
      </c>
      <c r="G7" s="17" t="str">
        <v>Furniture</v>
      </c>
      <c r="H7" s="18" t="str">
        <v>ComfortZone</v>
      </c>
      <c r="I7" s="20">
        <f>_xlfn.XLOOKUP(C7,Sheet3!$A$2:$A$11,Sheet3!$E$2:$E$11)*Sheet2!E7</f>
        <v>140000</v>
      </c>
    </row>
    <row r="8" spans="1:11" ht="18" customHeight="1" x14ac:dyDescent="0.3">
      <c r="A8" s="5" t="s">
        <v>51</v>
      </c>
      <c r="B8" s="5" t="s">
        <v>52</v>
      </c>
      <c r="C8" s="5" t="s">
        <v>53</v>
      </c>
      <c r="D8" s="5" t="s">
        <v>25</v>
      </c>
      <c r="E8" s="11">
        <v>5</v>
      </c>
      <c r="F8" s="17" t="str" cm="1">
        <f t="array" ref="F8:H8">_xlfn.XLOOKUP(C8,Sheet3!$A$2:$A$11,Sheet3!$B$2:$D$11)</f>
        <v>Standing Desk</v>
      </c>
      <c r="G8" s="17" t="str">
        <v>Furniture</v>
      </c>
      <c r="H8" s="18" t="str">
        <v>ComfortZone</v>
      </c>
      <c r="I8" s="20">
        <f>_xlfn.XLOOKUP(C8,Sheet3!$A$2:$A$11,Sheet3!$E$2:$E$11)*Sheet2!E8</f>
        <v>140000</v>
      </c>
    </row>
    <row r="9" spans="1:11" ht="18" customHeight="1" x14ac:dyDescent="0.3">
      <c r="A9" s="6" t="s">
        <v>55</v>
      </c>
      <c r="B9" s="6" t="s">
        <v>56</v>
      </c>
      <c r="C9" s="6" t="s">
        <v>57</v>
      </c>
      <c r="D9" s="6" t="s">
        <v>31</v>
      </c>
      <c r="E9" s="12">
        <v>4</v>
      </c>
      <c r="F9" s="17" t="str" cm="1">
        <f t="array" ref="F9:H9">_xlfn.XLOOKUP(C9,Sheet3!$A$2:$A$11,Sheet3!$B$2:$D$11)</f>
        <v>Webcam HD</v>
      </c>
      <c r="G9" s="17" t="str">
        <v>Electronics</v>
      </c>
      <c r="H9" s="18" t="str">
        <v>TechBrand</v>
      </c>
      <c r="I9" s="20">
        <f>_xlfn.XLOOKUP(C9,Sheet3!$A$2:$A$11,Sheet3!$E$2:$E$11)*Sheet2!E9</f>
        <v>18000</v>
      </c>
    </row>
    <row r="10" spans="1:11" ht="18" customHeight="1" x14ac:dyDescent="0.3">
      <c r="A10" s="5" t="s">
        <v>59</v>
      </c>
      <c r="B10" s="5" t="s">
        <v>60</v>
      </c>
      <c r="C10" s="5" t="s">
        <v>61</v>
      </c>
      <c r="D10" s="5" t="s">
        <v>43</v>
      </c>
      <c r="E10" s="11">
        <v>3</v>
      </c>
      <c r="F10" s="17" t="str" cm="1">
        <f t="array" ref="F10:H10">_xlfn.XLOOKUP(C10,Sheet3!$A$2:$A$11,Sheet3!$B$2:$D$11)</f>
        <v>Monitor 27"</v>
      </c>
      <c r="G10" s="17" t="str">
        <v>Electronics</v>
      </c>
      <c r="H10" s="18" t="str">
        <v>TechBrand</v>
      </c>
      <c r="I10" s="20">
        <f>_xlfn.XLOOKUP(C10,Sheet3!$A$2:$A$11,Sheet3!$E$2:$E$11)*Sheet2!E10</f>
        <v>96000</v>
      </c>
      <c r="K10" s="15"/>
    </row>
    <row r="11" spans="1:11" ht="18" customHeight="1" x14ac:dyDescent="0.3">
      <c r="A11" s="6" t="s">
        <v>63</v>
      </c>
      <c r="B11" s="6" t="s">
        <v>64</v>
      </c>
      <c r="C11" s="6" t="s">
        <v>65</v>
      </c>
      <c r="D11" s="6" t="s">
        <v>49</v>
      </c>
      <c r="E11" s="12">
        <v>19</v>
      </c>
      <c r="F11" s="17" t="str" cm="1">
        <f t="array" ref="F11:H11">_xlfn.XLOOKUP(C11,Sheet3!$A$2:$A$11,Sheet3!$B$2:$D$11)</f>
        <v>Desk Lamp LED</v>
      </c>
      <c r="G11" s="17" t="str">
        <v>Furniture</v>
      </c>
      <c r="H11" s="18" t="str">
        <v>ComfortZone</v>
      </c>
      <c r="I11" s="20">
        <f>_xlfn.XLOOKUP(C11,Sheet3!$A$2:$A$11,Sheet3!$E$2:$E$11)*Sheet2!E11</f>
        <v>41800</v>
      </c>
    </row>
    <row r="12" spans="1:11" ht="18" customHeight="1" x14ac:dyDescent="0.3">
      <c r="A12" s="5" t="s">
        <v>67</v>
      </c>
      <c r="B12" s="5" t="s">
        <v>68</v>
      </c>
      <c r="C12" s="5" t="s">
        <v>24</v>
      </c>
      <c r="D12" s="5" t="s">
        <v>25</v>
      </c>
      <c r="E12" s="11">
        <v>14</v>
      </c>
      <c r="F12" s="17" t="str" cm="1">
        <f t="array" ref="F12:H12">_xlfn.XLOOKUP(C12,Sheet3!$A$2:$A$11,Sheet3!$B$2:$D$11)</f>
        <v>Laptop Pro</v>
      </c>
      <c r="G12" s="17" t="str">
        <v>Electronics</v>
      </c>
      <c r="H12" s="18" t="str">
        <v>TechBrand</v>
      </c>
      <c r="I12" s="20">
        <f>_xlfn.XLOOKUP(C12,Sheet3!$A$2:$A$11,Sheet3!$E$2:$E$11)*Sheet2!E12</f>
        <v>770000</v>
      </c>
    </row>
    <row r="13" spans="1:11" ht="18" customHeight="1" x14ac:dyDescent="0.3">
      <c r="A13" s="6" t="s">
        <v>69</v>
      </c>
      <c r="B13" s="6" t="s">
        <v>70</v>
      </c>
      <c r="C13" s="6" t="s">
        <v>30</v>
      </c>
      <c r="D13" s="6" t="s">
        <v>31</v>
      </c>
      <c r="E13" s="12">
        <v>2</v>
      </c>
      <c r="F13" s="17" t="str" cm="1">
        <f t="array" ref="F13:H13">_xlfn.XLOOKUP(C13,Sheet3!$A$2:$A$11,Sheet3!$B$2:$D$11)</f>
        <v>Wireless Mouse</v>
      </c>
      <c r="G13" s="17" t="str">
        <v>Accessories</v>
      </c>
      <c r="H13" s="18" t="str">
        <v>TechBrand</v>
      </c>
      <c r="I13" s="20">
        <f>_xlfn.XLOOKUP(C13,Sheet3!$A$2:$A$11,Sheet3!$E$2:$E$11)*Sheet2!E13</f>
        <v>2400</v>
      </c>
    </row>
    <row r="14" spans="1:11" ht="18" customHeight="1" x14ac:dyDescent="0.3">
      <c r="A14" s="5" t="s">
        <v>71</v>
      </c>
      <c r="B14" s="5" t="s">
        <v>72</v>
      </c>
      <c r="C14" s="5" t="s">
        <v>36</v>
      </c>
      <c r="D14" s="5" t="s">
        <v>37</v>
      </c>
      <c r="E14" s="11">
        <v>1</v>
      </c>
      <c r="F14" s="17" t="str" cm="1">
        <f t="array" ref="F14:H14">_xlfn.XLOOKUP(C14,Sheet3!$A$2:$A$11,Sheet3!$B$2:$D$11)</f>
        <v>Office Chair</v>
      </c>
      <c r="G14" s="17" t="str">
        <v>Furniture</v>
      </c>
      <c r="H14" s="18" t="str">
        <v>ComfortZone</v>
      </c>
      <c r="I14" s="20">
        <f>_xlfn.XLOOKUP(C14,Sheet3!$A$2:$A$11,Sheet3!$E$2:$E$11)*Sheet2!E14</f>
        <v>15000</v>
      </c>
    </row>
    <row r="15" spans="1:11" ht="18" customHeight="1" x14ac:dyDescent="0.3">
      <c r="A15" s="6" t="s">
        <v>73</v>
      </c>
      <c r="B15" s="6" t="s">
        <v>74</v>
      </c>
      <c r="C15" s="6" t="s">
        <v>42</v>
      </c>
      <c r="D15" s="6" t="s">
        <v>43</v>
      </c>
      <c r="E15" s="12">
        <v>3</v>
      </c>
      <c r="F15" s="17" t="str" cm="1">
        <f t="array" ref="F15:H15">_xlfn.XLOOKUP(C15,Sheet3!$A$2:$A$11,Sheet3!$B$2:$D$11)</f>
        <v>Notebook Set</v>
      </c>
      <c r="G15" s="17" t="str">
        <v>Stationery</v>
      </c>
      <c r="H15" s="18" t="str">
        <v>WriteRight</v>
      </c>
      <c r="I15" s="20">
        <f>_xlfn.XLOOKUP(C15,Sheet3!$A$2:$A$11,Sheet3!$E$2:$E$11)*Sheet2!E15</f>
        <v>1350</v>
      </c>
    </row>
    <row r="16" spans="1:11" ht="18" customHeight="1" x14ac:dyDescent="0.3">
      <c r="A16" s="5" t="s">
        <v>75</v>
      </c>
      <c r="B16" s="5" t="s">
        <v>76</v>
      </c>
      <c r="C16" s="5" t="s">
        <v>48</v>
      </c>
      <c r="D16" s="5" t="s">
        <v>49</v>
      </c>
      <c r="E16" s="11">
        <v>7</v>
      </c>
      <c r="F16" s="17" t="str" cm="1">
        <f t="array" ref="F16:H16">_xlfn.XLOOKUP(C16,Sheet3!$A$2:$A$11,Sheet3!$B$2:$D$11)</f>
        <v>USB-C Hub</v>
      </c>
      <c r="G16" s="17" t="str">
        <v>Accessories</v>
      </c>
      <c r="H16" s="18" t="str">
        <v>TechBrand</v>
      </c>
      <c r="I16" s="20">
        <f>_xlfn.XLOOKUP(C16,Sheet3!$A$2:$A$11,Sheet3!$E$2:$E$11)*Sheet2!E16</f>
        <v>24500</v>
      </c>
    </row>
    <row r="17" spans="1:9" ht="18" customHeight="1" x14ac:dyDescent="0.3">
      <c r="A17" s="6" t="s">
        <v>77</v>
      </c>
      <c r="B17" s="6" t="s">
        <v>78</v>
      </c>
      <c r="C17" s="6" t="s">
        <v>57</v>
      </c>
      <c r="D17" s="6" t="s">
        <v>31</v>
      </c>
      <c r="E17" s="12">
        <v>17</v>
      </c>
      <c r="F17" s="17" t="str" cm="1">
        <f t="array" ref="F17:H17">_xlfn.XLOOKUP(C17,Sheet3!$A$2:$A$11,Sheet3!$B$2:$D$11)</f>
        <v>Webcam HD</v>
      </c>
      <c r="G17" s="17" t="str">
        <v>Electronics</v>
      </c>
      <c r="H17" s="18" t="str">
        <v>TechBrand</v>
      </c>
      <c r="I17" s="20">
        <f>_xlfn.XLOOKUP(C17,Sheet3!$A$2:$A$11,Sheet3!$E$2:$E$11)*Sheet2!E17</f>
        <v>76500</v>
      </c>
    </row>
    <row r="18" spans="1:9" ht="18" customHeight="1" x14ac:dyDescent="0.3">
      <c r="A18" s="5" t="s">
        <v>79</v>
      </c>
      <c r="B18" s="5" t="s">
        <v>80</v>
      </c>
      <c r="C18" s="5" t="s">
        <v>81</v>
      </c>
      <c r="D18" s="5" t="s">
        <v>37</v>
      </c>
      <c r="E18" s="11">
        <v>20</v>
      </c>
      <c r="F18" s="17" t="str" cm="1">
        <f t="array" ref="F18:H18">_xlfn.XLOOKUP(C18,Sheet3!$A$2:$A$11,Sheet3!$B$2:$D$11)</f>
        <v>Pen Drive 128GB</v>
      </c>
      <c r="G18" s="17" t="str">
        <v>Accessories</v>
      </c>
      <c r="H18" s="18" t="str">
        <v>StorePro</v>
      </c>
      <c r="I18" s="20">
        <f>_xlfn.XLOOKUP(C18,Sheet3!$A$2:$A$11,Sheet3!$E$2:$E$11)*Sheet2!E18</f>
        <v>17000</v>
      </c>
    </row>
    <row r="19" spans="1:9" ht="18" customHeight="1" x14ac:dyDescent="0.3">
      <c r="A19" s="6" t="s">
        <v>83</v>
      </c>
      <c r="B19" s="6" t="s">
        <v>84</v>
      </c>
      <c r="C19" s="6" t="s">
        <v>61</v>
      </c>
      <c r="D19" s="6" t="s">
        <v>43</v>
      </c>
      <c r="E19" s="12">
        <v>1</v>
      </c>
      <c r="F19" s="17" t="str" cm="1">
        <f t="array" ref="F19:H19">_xlfn.XLOOKUP(C19,Sheet3!$A$2:$A$11,Sheet3!$B$2:$D$11)</f>
        <v>Monitor 27"</v>
      </c>
      <c r="G19" s="17" t="str">
        <v>Electronics</v>
      </c>
      <c r="H19" s="18" t="str">
        <v>TechBrand</v>
      </c>
      <c r="I19" s="20">
        <f>_xlfn.XLOOKUP(C19,Sheet3!$A$2:$A$11,Sheet3!$E$2:$E$11)*Sheet2!E19</f>
        <v>32000</v>
      </c>
    </row>
    <row r="20" spans="1:9" ht="18" customHeight="1" x14ac:dyDescent="0.3">
      <c r="A20" s="5" t="s">
        <v>85</v>
      </c>
      <c r="B20" s="5" t="s">
        <v>86</v>
      </c>
      <c r="C20" s="5" t="s">
        <v>65</v>
      </c>
      <c r="D20" s="5" t="s">
        <v>49</v>
      </c>
      <c r="E20" s="11">
        <v>18</v>
      </c>
      <c r="F20" s="17" t="str" cm="1">
        <f t="array" ref="F20:H20">_xlfn.XLOOKUP(C20,Sheet3!$A$2:$A$11,Sheet3!$B$2:$D$11)</f>
        <v>Desk Lamp LED</v>
      </c>
      <c r="G20" s="17" t="str">
        <v>Furniture</v>
      </c>
      <c r="H20" s="18" t="str">
        <v>ComfortZone</v>
      </c>
      <c r="I20" s="20">
        <f>_xlfn.XLOOKUP(C20,Sheet3!$A$2:$A$11,Sheet3!$E$2:$E$11)*Sheet2!E20</f>
        <v>39600</v>
      </c>
    </row>
    <row r="21" spans="1:9" ht="18" customHeight="1" x14ac:dyDescent="0.3">
      <c r="A21" s="6" t="s">
        <v>87</v>
      </c>
      <c r="B21" s="6" t="s">
        <v>88</v>
      </c>
      <c r="C21" s="6" t="s">
        <v>24</v>
      </c>
      <c r="D21" s="6" t="s">
        <v>25</v>
      </c>
      <c r="E21" s="12">
        <v>7</v>
      </c>
      <c r="F21" s="17" t="str" cm="1">
        <f t="array" ref="F21:H21">_xlfn.XLOOKUP(C21,Sheet3!$A$2:$A$11,Sheet3!$B$2:$D$11)</f>
        <v>Laptop Pro</v>
      </c>
      <c r="G21" s="17" t="str">
        <v>Electronics</v>
      </c>
      <c r="H21" s="18" t="str">
        <v>TechBrand</v>
      </c>
      <c r="I21" s="20">
        <f>_xlfn.XLOOKUP(C21,Sheet3!$A$2:$A$11,Sheet3!$E$2:$E$11)*Sheet2!E21</f>
        <v>385000</v>
      </c>
    </row>
    <row r="22" spans="1:9" ht="18" customHeight="1" x14ac:dyDescent="0.3">
      <c r="A22" s="5" t="s">
        <v>87</v>
      </c>
      <c r="B22" s="5" t="s">
        <v>88</v>
      </c>
      <c r="C22" s="5" t="s">
        <v>24</v>
      </c>
      <c r="D22" s="5" t="s">
        <v>25</v>
      </c>
      <c r="E22" s="11">
        <v>7</v>
      </c>
      <c r="F22" s="17" t="str" cm="1">
        <f t="array" ref="F22:H22">_xlfn.XLOOKUP(C22,Sheet3!$A$2:$A$11,Sheet3!$B$2:$D$11)</f>
        <v>Laptop Pro</v>
      </c>
      <c r="G22" s="17" t="str">
        <v>Electronics</v>
      </c>
      <c r="H22" s="18" t="str">
        <v>TechBrand</v>
      </c>
      <c r="I22" s="20">
        <f>_xlfn.XLOOKUP(C22,Sheet3!$A$2:$A$11,Sheet3!$E$2:$E$11)*Sheet2!E22</f>
        <v>385000</v>
      </c>
    </row>
    <row r="23" spans="1:9" ht="18" customHeight="1" x14ac:dyDescent="0.3">
      <c r="A23" s="6" t="s">
        <v>89</v>
      </c>
      <c r="B23" s="6" t="s">
        <v>90</v>
      </c>
      <c r="C23" s="6" t="s">
        <v>30</v>
      </c>
      <c r="D23" s="6" t="s">
        <v>31</v>
      </c>
      <c r="E23" s="12">
        <v>18</v>
      </c>
      <c r="F23" s="17" t="str" cm="1">
        <f t="array" ref="F23:H23">_xlfn.XLOOKUP(C23,Sheet3!$A$2:$A$11,Sheet3!$B$2:$D$11)</f>
        <v>Wireless Mouse</v>
      </c>
      <c r="G23" s="17" t="str">
        <v>Accessories</v>
      </c>
      <c r="H23" s="18" t="str">
        <v>TechBrand</v>
      </c>
      <c r="I23" s="20">
        <f>_xlfn.XLOOKUP(C23,Sheet3!$A$2:$A$11,Sheet3!$E$2:$E$11)*Sheet2!E23</f>
        <v>21600</v>
      </c>
    </row>
    <row r="24" spans="1:9" ht="18" customHeight="1" x14ac:dyDescent="0.3">
      <c r="A24" s="5" t="s">
        <v>91</v>
      </c>
      <c r="B24" s="5" t="s">
        <v>92</v>
      </c>
      <c r="C24" s="5" t="s">
        <v>36</v>
      </c>
      <c r="D24" s="5" t="s">
        <v>37</v>
      </c>
      <c r="E24" s="11">
        <v>14</v>
      </c>
      <c r="F24" s="17" t="str" cm="1">
        <f t="array" ref="F24:H24">_xlfn.XLOOKUP(C24,Sheet3!$A$2:$A$11,Sheet3!$B$2:$D$11)</f>
        <v>Office Chair</v>
      </c>
      <c r="G24" s="17" t="str">
        <v>Furniture</v>
      </c>
      <c r="H24" s="18" t="str">
        <v>ComfortZone</v>
      </c>
      <c r="I24" s="20">
        <f>_xlfn.XLOOKUP(C24,Sheet3!$A$2:$A$11,Sheet3!$E$2:$E$11)*Sheet2!E24</f>
        <v>210000</v>
      </c>
    </row>
    <row r="25" spans="1:9" ht="18" customHeight="1" x14ac:dyDescent="0.3">
      <c r="A25" s="6" t="s">
        <v>93</v>
      </c>
      <c r="B25" s="6" t="s">
        <v>94</v>
      </c>
      <c r="C25" s="6" t="s">
        <v>48</v>
      </c>
      <c r="D25" s="6" t="s">
        <v>49</v>
      </c>
      <c r="E25" s="12">
        <v>15</v>
      </c>
      <c r="F25" s="17" t="str" cm="1">
        <f t="array" ref="F25:H25">_xlfn.XLOOKUP(C25,Sheet3!$A$2:$A$11,Sheet3!$B$2:$D$11)</f>
        <v>USB-C Hub</v>
      </c>
      <c r="G25" s="17" t="str">
        <v>Accessories</v>
      </c>
      <c r="H25" s="18" t="str">
        <v>TechBrand</v>
      </c>
      <c r="I25" s="20">
        <f>_xlfn.XLOOKUP(C25,Sheet3!$A$2:$A$11,Sheet3!$E$2:$E$11)*Sheet2!E25</f>
        <v>52500</v>
      </c>
    </row>
    <row r="26" spans="1:9" ht="18" customHeight="1" x14ac:dyDescent="0.3">
      <c r="A26" s="5" t="s">
        <v>95</v>
      </c>
      <c r="B26" s="5" t="s">
        <v>96</v>
      </c>
      <c r="C26" s="5" t="s">
        <v>53</v>
      </c>
      <c r="D26" s="5" t="s">
        <v>25</v>
      </c>
      <c r="E26" s="11">
        <v>19</v>
      </c>
      <c r="F26" s="17" t="str" cm="1">
        <f t="array" ref="F26:H26">_xlfn.XLOOKUP(C26,Sheet3!$A$2:$A$11,Sheet3!$B$2:$D$11)</f>
        <v>Standing Desk</v>
      </c>
      <c r="G26" s="17" t="str">
        <v>Furniture</v>
      </c>
      <c r="H26" s="18" t="str">
        <v>ComfortZone</v>
      </c>
      <c r="I26" s="20">
        <f>_xlfn.XLOOKUP(C26,Sheet3!$A$2:$A$11,Sheet3!$E$2:$E$11)*Sheet2!E26</f>
        <v>532000</v>
      </c>
    </row>
    <row r="27" spans="1:9" ht="18" customHeight="1" x14ac:dyDescent="0.3">
      <c r="A27" s="6" t="s">
        <v>97</v>
      </c>
      <c r="B27" s="6" t="s">
        <v>98</v>
      </c>
      <c r="C27" s="6" t="s">
        <v>57</v>
      </c>
      <c r="D27" s="6" t="s">
        <v>31</v>
      </c>
      <c r="E27" s="12">
        <v>9</v>
      </c>
      <c r="F27" s="17" t="str" cm="1">
        <f t="array" ref="F27:H27">_xlfn.XLOOKUP(C27,Sheet3!$A$2:$A$11,Sheet3!$B$2:$D$11)</f>
        <v>Webcam HD</v>
      </c>
      <c r="G27" s="17" t="str">
        <v>Electronics</v>
      </c>
      <c r="H27" s="18" t="str">
        <v>TechBrand</v>
      </c>
      <c r="I27" s="20">
        <f>_xlfn.XLOOKUP(C27,Sheet3!$A$2:$A$11,Sheet3!$E$2:$E$11)*Sheet2!E27</f>
        <v>40500</v>
      </c>
    </row>
    <row r="28" spans="1:9" ht="18" customHeight="1" x14ac:dyDescent="0.3">
      <c r="A28" s="5" t="s">
        <v>99</v>
      </c>
      <c r="B28" s="5" t="s">
        <v>100</v>
      </c>
      <c r="C28" s="5" t="s">
        <v>81</v>
      </c>
      <c r="D28" s="5" t="s">
        <v>37</v>
      </c>
      <c r="E28" s="11">
        <v>1</v>
      </c>
      <c r="F28" s="17" t="str" cm="1">
        <f t="array" ref="F28:H28">_xlfn.XLOOKUP(C28,Sheet3!$A$2:$A$11,Sheet3!$B$2:$D$11)</f>
        <v>Pen Drive 128GB</v>
      </c>
      <c r="G28" s="17" t="str">
        <v>Accessories</v>
      </c>
      <c r="H28" s="18" t="str">
        <v>StorePro</v>
      </c>
      <c r="I28" s="20">
        <f>_xlfn.XLOOKUP(C28,Sheet3!$A$2:$A$11,Sheet3!$E$2:$E$11)*Sheet2!E28</f>
        <v>850</v>
      </c>
    </row>
    <row r="29" spans="1:9" ht="18" customHeight="1" x14ac:dyDescent="0.3">
      <c r="A29" s="6" t="s">
        <v>101</v>
      </c>
      <c r="B29" s="6" t="s">
        <v>102</v>
      </c>
      <c r="C29" s="6" t="s">
        <v>61</v>
      </c>
      <c r="D29" s="6" t="s">
        <v>43</v>
      </c>
      <c r="E29" s="12">
        <v>6</v>
      </c>
      <c r="F29" s="17" t="str" cm="1">
        <f t="array" ref="F29:H29">_xlfn.XLOOKUP(C29,Sheet3!$A$2:$A$11,Sheet3!$B$2:$D$11)</f>
        <v>Monitor 27"</v>
      </c>
      <c r="G29" s="17" t="str">
        <v>Electronics</v>
      </c>
      <c r="H29" s="18" t="str">
        <v>TechBrand</v>
      </c>
      <c r="I29" s="20">
        <f>_xlfn.XLOOKUP(C29,Sheet3!$A$2:$A$11,Sheet3!$E$2:$E$11)*Sheet2!E29</f>
        <v>192000</v>
      </c>
    </row>
    <row r="30" spans="1:9" ht="18" customHeight="1" x14ac:dyDescent="0.3">
      <c r="A30" s="5" t="s">
        <v>103</v>
      </c>
      <c r="B30" s="5" t="s">
        <v>104</v>
      </c>
      <c r="C30" s="5" t="s">
        <v>65</v>
      </c>
      <c r="D30" s="5" t="s">
        <v>49</v>
      </c>
      <c r="E30" s="11">
        <v>14</v>
      </c>
      <c r="F30" s="17" t="str" cm="1">
        <f t="array" ref="F30:H30">_xlfn.XLOOKUP(C30,Sheet3!$A$2:$A$11,Sheet3!$B$2:$D$11)</f>
        <v>Desk Lamp LED</v>
      </c>
      <c r="G30" s="17" t="str">
        <v>Furniture</v>
      </c>
      <c r="H30" s="18" t="str">
        <v>ComfortZone</v>
      </c>
      <c r="I30" s="20">
        <f>_xlfn.XLOOKUP(C30,Sheet3!$A$2:$A$11,Sheet3!$E$2:$E$11)*Sheet2!E30</f>
        <v>30800</v>
      </c>
    </row>
    <row r="31" spans="1:9" ht="18" customHeight="1" x14ac:dyDescent="0.3">
      <c r="A31" s="6" t="s">
        <v>105</v>
      </c>
      <c r="B31" s="6" t="s">
        <v>106</v>
      </c>
      <c r="C31" s="6" t="s">
        <v>24</v>
      </c>
      <c r="D31" s="6" t="s">
        <v>25</v>
      </c>
      <c r="E31" s="12">
        <v>11</v>
      </c>
      <c r="F31" s="17" t="str" cm="1">
        <f t="array" ref="F31:H31">_xlfn.XLOOKUP(C31,Sheet3!$A$2:$A$11,Sheet3!$B$2:$D$11)</f>
        <v>Laptop Pro</v>
      </c>
      <c r="G31" s="17" t="str">
        <v>Electronics</v>
      </c>
      <c r="H31" s="18" t="str">
        <v>TechBrand</v>
      </c>
      <c r="I31" s="20">
        <f>_xlfn.XLOOKUP(C31,Sheet3!$A$2:$A$11,Sheet3!$E$2:$E$11)*Sheet2!E31</f>
        <v>605000</v>
      </c>
    </row>
    <row r="32" spans="1:9" ht="18" customHeight="1" x14ac:dyDescent="0.3">
      <c r="A32" s="5" t="s">
        <v>107</v>
      </c>
      <c r="B32" s="5" t="s">
        <v>108</v>
      </c>
      <c r="C32" s="5" t="s">
        <v>30</v>
      </c>
      <c r="D32" s="5" t="s">
        <v>31</v>
      </c>
      <c r="E32" s="11">
        <v>9</v>
      </c>
      <c r="F32" s="17" t="str" cm="1">
        <f t="array" ref="F32:H32">_xlfn.XLOOKUP(C32,Sheet3!$A$2:$A$11,Sheet3!$B$2:$D$11)</f>
        <v>Wireless Mouse</v>
      </c>
      <c r="G32" s="17" t="str">
        <v>Accessories</v>
      </c>
      <c r="H32" s="18" t="str">
        <v>TechBrand</v>
      </c>
      <c r="I32" s="20">
        <f>_xlfn.XLOOKUP(C32,Sheet3!$A$2:$A$11,Sheet3!$E$2:$E$11)*Sheet2!E32</f>
        <v>10800</v>
      </c>
    </row>
    <row r="33" spans="1:9" ht="18" customHeight="1" x14ac:dyDescent="0.3">
      <c r="A33" s="6" t="s">
        <v>109</v>
      </c>
      <c r="B33" s="6" t="s">
        <v>110</v>
      </c>
      <c r="C33" s="6" t="s">
        <v>36</v>
      </c>
      <c r="D33" s="6" t="s">
        <v>37</v>
      </c>
      <c r="E33" s="12">
        <v>5</v>
      </c>
      <c r="F33" s="17" t="str" cm="1">
        <f t="array" ref="F33:H33">_xlfn.XLOOKUP(C33,Sheet3!$A$2:$A$11,Sheet3!$B$2:$D$11)</f>
        <v>Office Chair</v>
      </c>
      <c r="G33" s="17" t="str">
        <v>Furniture</v>
      </c>
      <c r="H33" s="18" t="str">
        <v>ComfortZone</v>
      </c>
      <c r="I33" s="20">
        <f>_xlfn.XLOOKUP(C33,Sheet3!$A$2:$A$11,Sheet3!$E$2:$E$11)*Sheet2!E33</f>
        <v>75000</v>
      </c>
    </row>
    <row r="34" spans="1:9" ht="18" customHeight="1" x14ac:dyDescent="0.3">
      <c r="A34" s="5" t="s">
        <v>111</v>
      </c>
      <c r="B34" s="5" t="s">
        <v>112</v>
      </c>
      <c r="C34" s="5" t="s">
        <v>48</v>
      </c>
      <c r="D34" s="5" t="s">
        <v>49</v>
      </c>
      <c r="E34" s="11">
        <v>11</v>
      </c>
      <c r="F34" s="17" t="str" cm="1">
        <f t="array" ref="F34:H34">_xlfn.XLOOKUP(C34,Sheet3!$A$2:$A$11,Sheet3!$B$2:$D$11)</f>
        <v>USB-C Hub</v>
      </c>
      <c r="G34" s="17" t="str">
        <v>Accessories</v>
      </c>
      <c r="H34" s="18" t="str">
        <v>TechBrand</v>
      </c>
      <c r="I34" s="20">
        <f>_xlfn.XLOOKUP(C34,Sheet3!$A$2:$A$11,Sheet3!$E$2:$E$11)*Sheet2!E34</f>
        <v>38500</v>
      </c>
    </row>
    <row r="35" spans="1:9" ht="18" customHeight="1" x14ac:dyDescent="0.3">
      <c r="A35" s="6" t="s">
        <v>113</v>
      </c>
      <c r="B35" s="6" t="s">
        <v>114</v>
      </c>
      <c r="C35" s="6" t="s">
        <v>53</v>
      </c>
      <c r="D35" s="6" t="s">
        <v>25</v>
      </c>
      <c r="E35" s="12">
        <v>4</v>
      </c>
      <c r="F35" s="17" t="str" cm="1">
        <f t="array" ref="F35:H35">_xlfn.XLOOKUP(C35,Sheet3!$A$2:$A$11,Sheet3!$B$2:$D$11)</f>
        <v>Standing Desk</v>
      </c>
      <c r="G35" s="17" t="str">
        <v>Furniture</v>
      </c>
      <c r="H35" s="18" t="str">
        <v>ComfortZone</v>
      </c>
      <c r="I35" s="20">
        <f>_xlfn.XLOOKUP(C35,Sheet3!$A$2:$A$11,Sheet3!$E$2:$E$11)*Sheet2!E35</f>
        <v>112000</v>
      </c>
    </row>
    <row r="36" spans="1:9" ht="18" customHeight="1" x14ac:dyDescent="0.3">
      <c r="A36" s="5" t="s">
        <v>113</v>
      </c>
      <c r="B36" s="5" t="s">
        <v>114</v>
      </c>
      <c r="C36" s="5" t="s">
        <v>53</v>
      </c>
      <c r="D36" s="5" t="s">
        <v>25</v>
      </c>
      <c r="E36" s="11">
        <v>4</v>
      </c>
      <c r="F36" s="17" t="str" cm="1">
        <f t="array" ref="F36:H36">_xlfn.XLOOKUP(C36,Sheet3!$A$2:$A$11,Sheet3!$B$2:$D$11)</f>
        <v>Standing Desk</v>
      </c>
      <c r="G36" s="17" t="str">
        <v>Furniture</v>
      </c>
      <c r="H36" s="18" t="str">
        <v>ComfortZone</v>
      </c>
      <c r="I36" s="20">
        <f>_xlfn.XLOOKUP(C36,Sheet3!$A$2:$A$11,Sheet3!$E$2:$E$11)*Sheet2!E36</f>
        <v>112000</v>
      </c>
    </row>
    <row r="37" spans="1:9" ht="18" customHeight="1" x14ac:dyDescent="0.3">
      <c r="A37" s="6" t="s">
        <v>115</v>
      </c>
      <c r="B37" s="6" t="s">
        <v>116</v>
      </c>
      <c r="C37" s="6" t="s">
        <v>57</v>
      </c>
      <c r="D37" s="6" t="s">
        <v>31</v>
      </c>
      <c r="E37" s="12">
        <v>3</v>
      </c>
      <c r="F37" s="17" t="str" cm="1">
        <f t="array" ref="F37:H37">_xlfn.XLOOKUP(C37,Sheet3!$A$2:$A$11,Sheet3!$B$2:$D$11)</f>
        <v>Webcam HD</v>
      </c>
      <c r="G37" s="17" t="str">
        <v>Electronics</v>
      </c>
      <c r="H37" s="18" t="str">
        <v>TechBrand</v>
      </c>
      <c r="I37" s="20">
        <f>_xlfn.XLOOKUP(C37,Sheet3!$A$2:$A$11,Sheet3!$E$2:$E$11)*Sheet2!E37</f>
        <v>13500</v>
      </c>
    </row>
    <row r="38" spans="1:9" ht="18" customHeight="1" x14ac:dyDescent="0.3">
      <c r="A38" s="5" t="s">
        <v>117</v>
      </c>
      <c r="B38" s="5" t="s">
        <v>118</v>
      </c>
      <c r="C38" s="5" t="s">
        <v>81</v>
      </c>
      <c r="D38" s="5" t="s">
        <v>37</v>
      </c>
      <c r="E38" s="11">
        <v>13</v>
      </c>
      <c r="F38" s="17" t="str" cm="1">
        <f t="array" ref="F38:H38">_xlfn.XLOOKUP(C38,Sheet3!$A$2:$A$11,Sheet3!$B$2:$D$11)</f>
        <v>Pen Drive 128GB</v>
      </c>
      <c r="G38" s="17" t="str">
        <v>Accessories</v>
      </c>
      <c r="H38" s="18" t="str">
        <v>StorePro</v>
      </c>
      <c r="I38" s="20">
        <f>_xlfn.XLOOKUP(C38,Sheet3!$A$2:$A$11,Sheet3!$E$2:$E$11)*Sheet2!E38</f>
        <v>11050</v>
      </c>
    </row>
    <row r="39" spans="1:9" ht="18" customHeight="1" x14ac:dyDescent="0.3">
      <c r="A39" s="6" t="s">
        <v>119</v>
      </c>
      <c r="B39" s="6" t="s">
        <v>120</v>
      </c>
      <c r="C39" s="6" t="s">
        <v>61</v>
      </c>
      <c r="D39" s="6" t="s">
        <v>43</v>
      </c>
      <c r="E39" s="12">
        <v>4</v>
      </c>
      <c r="F39" s="17" t="str" cm="1">
        <f t="array" ref="F39:H39">_xlfn.XLOOKUP(C39,Sheet3!$A$2:$A$11,Sheet3!$B$2:$D$11)</f>
        <v>Monitor 27"</v>
      </c>
      <c r="G39" s="17" t="str">
        <v>Electronics</v>
      </c>
      <c r="H39" s="18" t="str">
        <v>TechBrand</v>
      </c>
      <c r="I39" s="20">
        <f>_xlfn.XLOOKUP(C39,Sheet3!$A$2:$A$11,Sheet3!$E$2:$E$11)*Sheet2!E39</f>
        <v>128000</v>
      </c>
    </row>
    <row r="40" spans="1:9" ht="18" customHeight="1" x14ac:dyDescent="0.3">
      <c r="A40" s="5" t="s">
        <v>121</v>
      </c>
      <c r="B40" s="5" t="s">
        <v>122</v>
      </c>
      <c r="C40" s="5" t="s">
        <v>65</v>
      </c>
      <c r="D40" s="5" t="s">
        <v>49</v>
      </c>
      <c r="E40" s="11">
        <v>12</v>
      </c>
      <c r="F40" s="17" t="str" cm="1">
        <f t="array" ref="F40:H40">_xlfn.XLOOKUP(C40,Sheet3!$A$2:$A$11,Sheet3!$B$2:$D$11)</f>
        <v>Desk Lamp LED</v>
      </c>
      <c r="G40" s="17" t="str">
        <v>Furniture</v>
      </c>
      <c r="H40" s="18" t="str">
        <v>ComfortZone</v>
      </c>
      <c r="I40" s="20">
        <f>_xlfn.XLOOKUP(C40,Sheet3!$A$2:$A$11,Sheet3!$E$2:$E$11)*Sheet2!E40</f>
        <v>26400</v>
      </c>
    </row>
    <row r="41" spans="1:9" ht="18" customHeight="1" x14ac:dyDescent="0.3">
      <c r="A41" s="6" t="s">
        <v>123</v>
      </c>
      <c r="B41" s="6" t="s">
        <v>124</v>
      </c>
      <c r="C41" s="6" t="s">
        <v>24</v>
      </c>
      <c r="D41" s="6" t="s">
        <v>25</v>
      </c>
      <c r="E41" s="12">
        <v>12</v>
      </c>
      <c r="F41" s="17" t="str" cm="1">
        <f t="array" ref="F41:H41">_xlfn.XLOOKUP(C41,Sheet3!$A$2:$A$11,Sheet3!$B$2:$D$11)</f>
        <v>Laptop Pro</v>
      </c>
      <c r="G41" s="17" t="str">
        <v>Electronics</v>
      </c>
      <c r="H41" s="18" t="str">
        <v>TechBrand</v>
      </c>
      <c r="I41" s="20">
        <f>_xlfn.XLOOKUP(C41,Sheet3!$A$2:$A$11,Sheet3!$E$2:$E$11)*Sheet2!E41</f>
        <v>660000</v>
      </c>
    </row>
    <row r="42" spans="1:9" ht="15.75" customHeight="1" x14ac:dyDescent="0.3">
      <c r="F42" s="14"/>
      <c r="G42" s="14"/>
      <c r="H42" s="14"/>
      <c r="I42" s="23"/>
    </row>
    <row r="43" spans="1:9" ht="15.75" customHeight="1" x14ac:dyDescent="0.3">
      <c r="F43" s="14"/>
      <c r="G43" s="14"/>
      <c r="H43" s="14"/>
      <c r="I43" s="23"/>
    </row>
    <row r="44" spans="1:9" ht="15.75" customHeight="1" x14ac:dyDescent="0.3">
      <c r="F44" s="14"/>
      <c r="G44" s="14"/>
      <c r="H44" s="14"/>
      <c r="I44" s="23"/>
    </row>
    <row r="45" spans="1:9" ht="15.75" customHeight="1" x14ac:dyDescent="0.3">
      <c r="F45" s="14"/>
      <c r="G45" s="14"/>
      <c r="H45" s="14"/>
      <c r="I45" s="23"/>
    </row>
    <row r="46" spans="1:9" ht="15.75" customHeight="1" x14ac:dyDescent="0.3">
      <c r="F46" s="14"/>
      <c r="G46" s="14"/>
      <c r="H46" s="14"/>
      <c r="I46" s="23"/>
    </row>
    <row r="47" spans="1:9" ht="15.75" customHeight="1" x14ac:dyDescent="0.3">
      <c r="F47" s="14"/>
      <c r="G47" s="14"/>
      <c r="H47" s="14"/>
      <c r="I47" s="23"/>
    </row>
    <row r="48" spans="1:9" ht="15.75" customHeight="1" x14ac:dyDescent="0.3">
      <c r="F48" s="14"/>
      <c r="G48" s="14"/>
      <c r="H48" s="14"/>
      <c r="I48" s="23"/>
    </row>
    <row r="49" spans="6:9" ht="15.75" customHeight="1" x14ac:dyDescent="0.3">
      <c r="F49" s="14"/>
      <c r="G49" s="14"/>
      <c r="H49" s="14"/>
      <c r="I49" s="23"/>
    </row>
    <row r="50" spans="6:9" ht="15.75" customHeight="1" x14ac:dyDescent="0.3">
      <c r="F50" s="14"/>
      <c r="G50" s="14"/>
      <c r="H50" s="14"/>
      <c r="I50" s="23"/>
    </row>
    <row r="51" spans="6:9" ht="15.75" customHeight="1" x14ac:dyDescent="0.3">
      <c r="F51" s="14"/>
      <c r="G51" s="14"/>
      <c r="H51" s="14"/>
      <c r="I51" s="23"/>
    </row>
    <row r="52" spans="6:9" ht="15.75" customHeight="1" x14ac:dyDescent="0.3">
      <c r="F52" s="14"/>
      <c r="G52" s="14"/>
      <c r="H52" s="14"/>
      <c r="I52" s="23"/>
    </row>
    <row r="53" spans="6:9" ht="15.75" customHeight="1" x14ac:dyDescent="0.3">
      <c r="F53" s="14"/>
      <c r="G53" s="14"/>
      <c r="H53" s="14"/>
      <c r="I53" s="23"/>
    </row>
    <row r="54" spans="6:9" ht="15.75" customHeight="1" x14ac:dyDescent="0.3">
      <c r="F54" s="14"/>
      <c r="G54" s="14"/>
      <c r="H54" s="14"/>
      <c r="I54" s="23"/>
    </row>
    <row r="55" spans="6:9" ht="15.75" customHeight="1" x14ac:dyDescent="0.3">
      <c r="F55" s="14"/>
      <c r="G55" s="14"/>
      <c r="H55" s="14"/>
      <c r="I55" s="23"/>
    </row>
    <row r="56" spans="6:9" ht="15.75" customHeight="1" x14ac:dyDescent="0.3">
      <c r="F56" s="14"/>
      <c r="G56" s="14"/>
      <c r="H56" s="14"/>
      <c r="I56" s="23"/>
    </row>
    <row r="57" spans="6:9" ht="15.75" customHeight="1" x14ac:dyDescent="0.3">
      <c r="F57" s="14"/>
      <c r="G57" s="14"/>
      <c r="H57" s="14"/>
      <c r="I57" s="23"/>
    </row>
    <row r="58" spans="6:9" ht="15.75" customHeight="1" x14ac:dyDescent="0.3">
      <c r="F58" s="14"/>
      <c r="G58" s="14"/>
      <c r="H58" s="14"/>
      <c r="I58" s="23"/>
    </row>
    <row r="59" spans="6:9" ht="15.75" customHeight="1" x14ac:dyDescent="0.3">
      <c r="F59" s="14"/>
      <c r="G59" s="14"/>
      <c r="H59" s="14"/>
      <c r="I59" s="23"/>
    </row>
    <row r="60" spans="6:9" ht="15.75" customHeight="1" x14ac:dyDescent="0.3">
      <c r="F60" s="14"/>
      <c r="G60" s="14"/>
      <c r="H60" s="14"/>
      <c r="I60" s="23"/>
    </row>
    <row r="61" spans="6:9" ht="15.75" customHeight="1" x14ac:dyDescent="0.3">
      <c r="F61" s="14"/>
      <c r="G61" s="14"/>
      <c r="H61" s="14"/>
      <c r="I61" s="23"/>
    </row>
    <row r="62" spans="6:9" ht="15.75" customHeight="1" x14ac:dyDescent="0.3">
      <c r="F62" s="14"/>
      <c r="G62" s="14"/>
      <c r="H62" s="14"/>
      <c r="I62" s="23"/>
    </row>
    <row r="63" spans="6:9" ht="15.75" customHeight="1" x14ac:dyDescent="0.3">
      <c r="F63" s="14"/>
      <c r="G63" s="14"/>
      <c r="H63" s="14"/>
      <c r="I63" s="23"/>
    </row>
    <row r="64" spans="6:9" ht="15.75" customHeight="1" x14ac:dyDescent="0.3">
      <c r="F64" s="14"/>
      <c r="G64" s="14"/>
      <c r="H64" s="14"/>
      <c r="I64" s="23"/>
    </row>
    <row r="65" spans="6:9" ht="15.75" customHeight="1" x14ac:dyDescent="0.3">
      <c r="F65" s="14"/>
      <c r="G65" s="14"/>
      <c r="H65" s="14"/>
      <c r="I65" s="23"/>
    </row>
    <row r="66" spans="6:9" ht="15.75" customHeight="1" x14ac:dyDescent="0.3">
      <c r="F66" s="14"/>
      <c r="G66" s="14"/>
      <c r="H66" s="14"/>
      <c r="I66" s="23"/>
    </row>
    <row r="67" spans="6:9" ht="15.75" customHeight="1" x14ac:dyDescent="0.3">
      <c r="F67" s="14"/>
      <c r="G67" s="14"/>
      <c r="H67" s="14"/>
      <c r="I67" s="23"/>
    </row>
    <row r="68" spans="6:9" ht="15.75" customHeight="1" x14ac:dyDescent="0.3">
      <c r="F68" s="14"/>
      <c r="G68" s="14"/>
      <c r="H68" s="14"/>
      <c r="I68" s="23"/>
    </row>
    <row r="69" spans="6:9" ht="15.75" customHeight="1" x14ac:dyDescent="0.3">
      <c r="F69" s="14"/>
      <c r="G69" s="14"/>
      <c r="H69" s="14"/>
      <c r="I69" s="23"/>
    </row>
    <row r="70" spans="6:9" ht="15.75" customHeight="1" x14ac:dyDescent="0.3">
      <c r="F70" s="14"/>
      <c r="G70" s="14"/>
      <c r="H70" s="14"/>
      <c r="I70" s="23"/>
    </row>
    <row r="71" spans="6:9" ht="15.75" customHeight="1" x14ac:dyDescent="0.3">
      <c r="F71" s="14"/>
      <c r="G71" s="14"/>
      <c r="H71" s="14"/>
      <c r="I71" s="23"/>
    </row>
    <row r="72" spans="6:9" ht="15.75" customHeight="1" x14ac:dyDescent="0.3">
      <c r="F72" s="14"/>
      <c r="G72" s="14"/>
      <c r="H72" s="14"/>
      <c r="I72" s="23"/>
    </row>
    <row r="73" spans="6:9" ht="15.75" customHeight="1" x14ac:dyDescent="0.3">
      <c r="F73" s="14"/>
      <c r="G73" s="14"/>
      <c r="H73" s="14"/>
      <c r="I73" s="23"/>
    </row>
    <row r="74" spans="6:9" ht="15.75" customHeight="1" x14ac:dyDescent="0.3">
      <c r="F74" s="14"/>
      <c r="G74" s="14"/>
      <c r="H74" s="14"/>
      <c r="I74" s="23"/>
    </row>
    <row r="75" spans="6:9" ht="15.75" customHeight="1" x14ac:dyDescent="0.3">
      <c r="F75" s="14"/>
      <c r="G75" s="14"/>
      <c r="H75" s="14"/>
      <c r="I75" s="23"/>
    </row>
    <row r="76" spans="6:9" ht="15.75" customHeight="1" x14ac:dyDescent="0.3">
      <c r="F76" s="14"/>
      <c r="G76" s="14"/>
      <c r="H76" s="14"/>
      <c r="I76" s="23"/>
    </row>
    <row r="77" spans="6:9" ht="15.75" customHeight="1" x14ac:dyDescent="0.3">
      <c r="F77" s="14"/>
      <c r="G77" s="14"/>
      <c r="H77" s="14"/>
      <c r="I77" s="23"/>
    </row>
    <row r="78" spans="6:9" ht="15.75" customHeight="1" x14ac:dyDescent="0.3">
      <c r="F78" s="14"/>
      <c r="G78" s="14"/>
      <c r="H78" s="14"/>
      <c r="I78" s="23"/>
    </row>
    <row r="79" spans="6:9" ht="15.75" customHeight="1" x14ac:dyDescent="0.3">
      <c r="F79" s="14"/>
      <c r="G79" s="14"/>
      <c r="H79" s="14"/>
      <c r="I79" s="23"/>
    </row>
    <row r="80" spans="6:9" ht="15.75" customHeight="1" x14ac:dyDescent="0.3">
      <c r="F80" s="14"/>
      <c r="G80" s="14"/>
      <c r="H80" s="14"/>
      <c r="I80" s="23"/>
    </row>
    <row r="81" spans="6:9" ht="15.75" customHeight="1" x14ac:dyDescent="0.3">
      <c r="F81" s="14"/>
      <c r="G81" s="14"/>
      <c r="H81" s="14"/>
      <c r="I81" s="23"/>
    </row>
    <row r="82" spans="6:9" ht="15.75" customHeight="1" x14ac:dyDescent="0.3">
      <c r="F82" s="14"/>
      <c r="G82" s="14"/>
      <c r="H82" s="14"/>
      <c r="I82" s="23"/>
    </row>
    <row r="83" spans="6:9" ht="15.75" customHeight="1" x14ac:dyDescent="0.3">
      <c r="F83" s="14"/>
      <c r="G83" s="14"/>
      <c r="H83" s="14"/>
      <c r="I83" s="23"/>
    </row>
    <row r="84" spans="6:9" ht="15.75" customHeight="1" x14ac:dyDescent="0.3">
      <c r="F84" s="14"/>
      <c r="G84" s="14"/>
      <c r="H84" s="14"/>
      <c r="I84" s="23"/>
    </row>
    <row r="85" spans="6:9" ht="15.75" customHeight="1" x14ac:dyDescent="0.3">
      <c r="F85" s="14"/>
      <c r="G85" s="14"/>
      <c r="H85" s="14"/>
      <c r="I85" s="23"/>
    </row>
    <row r="86" spans="6:9" ht="15.75" customHeight="1" x14ac:dyDescent="0.3">
      <c r="F86" s="14"/>
      <c r="G86" s="14"/>
      <c r="H86" s="14"/>
      <c r="I86" s="23"/>
    </row>
    <row r="87" spans="6:9" ht="15.75" customHeight="1" x14ac:dyDescent="0.3">
      <c r="F87" s="14"/>
      <c r="G87" s="14"/>
      <c r="H87" s="14"/>
      <c r="I87" s="23"/>
    </row>
    <row r="88" spans="6:9" ht="15.75" customHeight="1" x14ac:dyDescent="0.3">
      <c r="F88" s="14"/>
      <c r="G88" s="14"/>
      <c r="H88" s="14"/>
      <c r="I88" s="23"/>
    </row>
    <row r="89" spans="6:9" ht="15.75" customHeight="1" x14ac:dyDescent="0.3">
      <c r="F89" s="14"/>
      <c r="G89" s="14"/>
      <c r="H89" s="14"/>
      <c r="I89" s="23"/>
    </row>
    <row r="90" spans="6:9" ht="15.75" customHeight="1" x14ac:dyDescent="0.3">
      <c r="F90" s="14"/>
      <c r="G90" s="14"/>
      <c r="H90" s="14"/>
      <c r="I90" s="23"/>
    </row>
    <row r="91" spans="6:9" ht="15.75" customHeight="1" x14ac:dyDescent="0.3">
      <c r="F91" s="14"/>
      <c r="G91" s="14"/>
      <c r="H91" s="14"/>
      <c r="I91" s="23"/>
    </row>
    <row r="92" spans="6:9" ht="15.75" customHeight="1" x14ac:dyDescent="0.3">
      <c r="F92" s="14"/>
      <c r="G92" s="14"/>
      <c r="H92" s="14"/>
      <c r="I92" s="23"/>
    </row>
    <row r="93" spans="6:9" ht="15.75" customHeight="1" x14ac:dyDescent="0.3">
      <c r="F93" s="14"/>
      <c r="G93" s="14"/>
      <c r="H93" s="14"/>
      <c r="I93" s="23"/>
    </row>
    <row r="94" spans="6:9" ht="15.75" customHeight="1" x14ac:dyDescent="0.3">
      <c r="F94" s="14"/>
      <c r="G94" s="14"/>
      <c r="H94" s="14"/>
      <c r="I94" s="23"/>
    </row>
    <row r="95" spans="6:9" ht="15.75" customHeight="1" x14ac:dyDescent="0.3">
      <c r="F95" s="14"/>
      <c r="G95" s="14"/>
      <c r="H95" s="14"/>
      <c r="I95" s="23"/>
    </row>
    <row r="96" spans="6:9" ht="15.75" customHeight="1" x14ac:dyDescent="0.3">
      <c r="F96" s="14"/>
      <c r="G96" s="14"/>
      <c r="H96" s="14"/>
      <c r="I96" s="23"/>
    </row>
    <row r="97" spans="6:9" ht="15.75" customHeight="1" x14ac:dyDescent="0.3">
      <c r="F97" s="14"/>
      <c r="G97" s="14"/>
      <c r="H97" s="14"/>
      <c r="I97" s="23"/>
    </row>
    <row r="98" spans="6:9" ht="15.75" customHeight="1" x14ac:dyDescent="0.3">
      <c r="F98" s="14"/>
      <c r="G98" s="14"/>
      <c r="H98" s="14"/>
      <c r="I98" s="23"/>
    </row>
    <row r="99" spans="6:9" ht="15.75" customHeight="1" x14ac:dyDescent="0.3">
      <c r="F99" s="14"/>
      <c r="G99" s="14"/>
      <c r="H99" s="14"/>
      <c r="I99" s="23"/>
    </row>
    <row r="100" spans="6:9" ht="15.75" customHeight="1" x14ac:dyDescent="0.3">
      <c r="F100" s="14"/>
      <c r="G100" s="14"/>
      <c r="H100" s="14"/>
      <c r="I100" s="23"/>
    </row>
    <row r="101" spans="6:9" ht="15.75" customHeight="1" x14ac:dyDescent="0.3">
      <c r="F101" s="14"/>
      <c r="G101" s="14"/>
      <c r="H101" s="14"/>
      <c r="I101" s="23"/>
    </row>
    <row r="102" spans="6:9" ht="15.75" customHeight="1" x14ac:dyDescent="0.3">
      <c r="F102" s="14"/>
      <c r="G102" s="14"/>
      <c r="H102" s="14"/>
      <c r="I102" s="23"/>
    </row>
    <row r="103" spans="6:9" ht="15.75" customHeight="1" x14ac:dyDescent="0.3">
      <c r="F103" s="21"/>
      <c r="G103" s="21"/>
      <c r="H103" s="21"/>
      <c r="I103" s="22"/>
    </row>
    <row r="104" spans="6:9" ht="15.75" customHeight="1" x14ac:dyDescent="0.3"/>
    <row r="105" spans="6:9" ht="15.75" customHeight="1" x14ac:dyDescent="0.3"/>
    <row r="106" spans="6:9" ht="15.75" customHeight="1" x14ac:dyDescent="0.3"/>
    <row r="107" spans="6:9" ht="15.75" customHeight="1" x14ac:dyDescent="0.3"/>
    <row r="108" spans="6:9" ht="15.75" customHeight="1" x14ac:dyDescent="0.3"/>
    <row r="109" spans="6:9" ht="15.75" customHeight="1" x14ac:dyDescent="0.3"/>
    <row r="110" spans="6:9" ht="15.75" customHeight="1" x14ac:dyDescent="0.3"/>
    <row r="111" spans="6:9" ht="15.75" customHeight="1" x14ac:dyDescent="0.3"/>
    <row r="112" spans="6:9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7" t="s">
        <v>15</v>
      </c>
      <c r="B1" s="7" t="s">
        <v>18</v>
      </c>
      <c r="C1" s="7" t="s">
        <v>19</v>
      </c>
      <c r="D1" s="7" t="s">
        <v>20</v>
      </c>
      <c r="E1" s="7" t="s">
        <v>125</v>
      </c>
    </row>
    <row r="2" spans="1:5" ht="18" customHeight="1" x14ac:dyDescent="0.3">
      <c r="A2" s="8" t="s">
        <v>24</v>
      </c>
      <c r="B2" s="8" t="s">
        <v>26</v>
      </c>
      <c r="C2" s="8" t="s">
        <v>27</v>
      </c>
      <c r="D2" s="8" t="s">
        <v>126</v>
      </c>
      <c r="E2" s="9">
        <v>55000</v>
      </c>
    </row>
    <row r="3" spans="1:5" ht="18" customHeight="1" x14ac:dyDescent="0.3">
      <c r="A3" s="5" t="s">
        <v>30</v>
      </c>
      <c r="B3" s="5" t="s">
        <v>32</v>
      </c>
      <c r="C3" s="5" t="s">
        <v>33</v>
      </c>
      <c r="D3" s="5" t="s">
        <v>126</v>
      </c>
      <c r="E3" s="10">
        <v>1200</v>
      </c>
    </row>
    <row r="4" spans="1:5" ht="18" customHeight="1" x14ac:dyDescent="0.3">
      <c r="A4" s="8" t="s">
        <v>36</v>
      </c>
      <c r="B4" s="8" t="s">
        <v>38</v>
      </c>
      <c r="C4" s="8" t="s">
        <v>39</v>
      </c>
      <c r="D4" s="8" t="s">
        <v>127</v>
      </c>
      <c r="E4" s="9">
        <v>15000</v>
      </c>
    </row>
    <row r="5" spans="1:5" ht="18" customHeight="1" x14ac:dyDescent="0.3">
      <c r="A5" s="5" t="s">
        <v>42</v>
      </c>
      <c r="B5" s="5" t="s">
        <v>44</v>
      </c>
      <c r="C5" s="5" t="s">
        <v>45</v>
      </c>
      <c r="D5" s="5" t="s">
        <v>128</v>
      </c>
      <c r="E5" s="10">
        <v>450</v>
      </c>
    </row>
    <row r="6" spans="1:5" ht="18" customHeight="1" x14ac:dyDescent="0.3">
      <c r="A6" s="8" t="s">
        <v>48</v>
      </c>
      <c r="B6" s="8" t="s">
        <v>50</v>
      </c>
      <c r="C6" s="8" t="s">
        <v>33</v>
      </c>
      <c r="D6" s="8" t="s">
        <v>126</v>
      </c>
      <c r="E6" s="9">
        <v>3500</v>
      </c>
    </row>
    <row r="7" spans="1:5" ht="18" customHeight="1" x14ac:dyDescent="0.3">
      <c r="A7" s="5" t="s">
        <v>53</v>
      </c>
      <c r="B7" s="5" t="s">
        <v>54</v>
      </c>
      <c r="C7" s="5" t="s">
        <v>39</v>
      </c>
      <c r="D7" s="5" t="s">
        <v>127</v>
      </c>
      <c r="E7" s="10">
        <v>28000</v>
      </c>
    </row>
    <row r="8" spans="1:5" ht="18" customHeight="1" x14ac:dyDescent="0.3">
      <c r="A8" s="8" t="s">
        <v>57</v>
      </c>
      <c r="B8" s="8" t="s">
        <v>58</v>
      </c>
      <c r="C8" s="8" t="s">
        <v>27</v>
      </c>
      <c r="D8" s="8" t="s">
        <v>126</v>
      </c>
      <c r="E8" s="9">
        <v>4500</v>
      </c>
    </row>
    <row r="9" spans="1:5" ht="18" customHeight="1" x14ac:dyDescent="0.3">
      <c r="A9" s="5" t="s">
        <v>81</v>
      </c>
      <c r="B9" s="5" t="s">
        <v>82</v>
      </c>
      <c r="C9" s="5" t="s">
        <v>33</v>
      </c>
      <c r="D9" s="5" t="s">
        <v>129</v>
      </c>
      <c r="E9" s="10">
        <v>850</v>
      </c>
    </row>
    <row r="10" spans="1:5" ht="18" customHeight="1" x14ac:dyDescent="0.3">
      <c r="A10" s="8" t="s">
        <v>61</v>
      </c>
      <c r="B10" s="8" t="s">
        <v>62</v>
      </c>
      <c r="C10" s="8" t="s">
        <v>27</v>
      </c>
      <c r="D10" s="8" t="s">
        <v>126</v>
      </c>
      <c r="E10" s="9">
        <v>32000</v>
      </c>
    </row>
    <row r="11" spans="1:5" ht="18" customHeight="1" x14ac:dyDescent="0.3">
      <c r="A11" s="5" t="s">
        <v>65</v>
      </c>
      <c r="B11" s="5" t="s">
        <v>66</v>
      </c>
      <c r="C11" s="5" t="s">
        <v>39</v>
      </c>
      <c r="D11" s="5" t="s">
        <v>127</v>
      </c>
      <c r="E11" s="10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Johra Munia</cp:lastModifiedBy>
  <dcterms:created xsi:type="dcterms:W3CDTF">2026-05-01T12:14:10Z</dcterms:created>
  <dcterms:modified xsi:type="dcterms:W3CDTF">2026-07-15T16:57:08Z</dcterms:modified>
</cp:coreProperties>
</file>