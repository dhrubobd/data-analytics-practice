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mc:AlternateContent xmlns:mc="http://schemas.openxmlformats.org/markup-compatibility/2006">
    <mc:Choice Requires="x15">
      <x15ac:absPath xmlns:x15ac="http://schemas.microsoft.com/office/spreadsheetml/2010/11/ac" url="E:\Data Analycis\Data Analytics Practice\Day 5\"/>
    </mc:Choice>
  </mc:AlternateContent>
  <xr:revisionPtr revIDLastSave="0" documentId="13_ncr:1_{9F11FF63-DE69-4BF0-B1FB-95AAD218D66B}" xr6:coauthVersionLast="47" xr6:coauthVersionMax="47" xr10:uidLastSave="{00000000-0000-0000-0000-000000000000}"/>
  <bookViews>
    <workbookView xWindow="-108" yWindow="-108" windowWidth="23256" windowHeight="13176" xr2:uid="{00000000-000D-0000-FFFF-FFFF00000000}"/>
  </bookViews>
  <sheets>
    <sheet name="Sheet1" sheetId="4" r:id="rId1"/>
    <sheet name="Sheet2" sheetId="2" r:id="rId2"/>
    <sheet name="Sheet3" sheetId="3" r:id="rId3"/>
  </sheets>
  <definedNames>
    <definedName name="Slicer_Month">#N/A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7" roundtripDataChecksum="NlFk+p/PAWDUrEYESFxURzoSWKGV7010uFePnnXbbPA="/>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2" i="2"/>
  <c r="G3" i="2" a="1"/>
  <c r="G3" i="2" s="1"/>
  <c r="G4" i="2" a="1"/>
  <c r="G4" i="2" s="1"/>
  <c r="G5" i="2" a="1"/>
  <c r="G5" i="2" s="1"/>
  <c r="G6" i="2" a="1"/>
  <c r="G6" i="2" s="1"/>
  <c r="G7" i="2" a="1"/>
  <c r="G7" i="2" s="1"/>
  <c r="G8" i="2" a="1"/>
  <c r="G8" i="2" s="1"/>
  <c r="G9" i="2" a="1"/>
  <c r="G9" i="2" s="1"/>
  <c r="G10" i="2" a="1"/>
  <c r="G10" i="2" s="1"/>
  <c r="G11" i="2" a="1"/>
  <c r="G11" i="2" s="1"/>
  <c r="G12" i="2" a="1"/>
  <c r="G12" i="2" s="1"/>
  <c r="G13" i="2" a="1"/>
  <c r="G13" i="2" s="1"/>
  <c r="G14" i="2" a="1"/>
  <c r="G14" i="2" s="1"/>
  <c r="G15" i="2" a="1"/>
  <c r="G15" i="2" s="1"/>
  <c r="G16" i="2" a="1"/>
  <c r="G16" i="2" s="1"/>
  <c r="G17" i="2" a="1"/>
  <c r="G17" i="2" s="1"/>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s="1"/>
  <c r="G29" i="2" a="1"/>
  <c r="G29" i="2" s="1"/>
  <c r="G30" i="2" a="1"/>
  <c r="G30" i="2" s="1"/>
  <c r="G31" i="2" a="1"/>
  <c r="G31" i="2" s="1"/>
  <c r="G32" i="2" a="1"/>
  <c r="G32" i="2" s="1"/>
  <c r="G33" i="2" a="1"/>
  <c r="G33" i="2" s="1"/>
  <c r="G34" i="2" a="1"/>
  <c r="G34" i="2" s="1"/>
  <c r="G35" i="2" a="1"/>
  <c r="G35" i="2" s="1"/>
  <c r="G36" i="2" a="1"/>
  <c r="G36" i="2" s="1"/>
  <c r="G37" i="2" a="1"/>
  <c r="G37" i="2" s="1"/>
  <c r="G38" i="2" a="1"/>
  <c r="G38" i="2" s="1"/>
  <c r="G39" i="2" a="1"/>
  <c r="G39" i="2" s="1"/>
  <c r="G40" i="2" a="1"/>
  <c r="G40" i="2" s="1"/>
  <c r="G41" i="2" a="1"/>
  <c r="G41" i="2" s="1"/>
  <c r="G2" i="2" a="1"/>
  <c r="G2"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<sst xmlns="http://schemas.openxmlformats.org/spreadsheetml/2006/main" count="257" uniqueCount="131">
  <si>
    <t>Sale ID</t>
  </si>
  <si>
    <t>Date</t>
  </si>
  <si>
    <t>Product ID</t>
  </si>
  <si>
    <t>Region</t>
  </si>
  <si>
    <t>Qty Sold</t>
  </si>
  <si>
    <t>Product Name</t>
  </si>
  <si>
    <t>Category</t>
  </si>
  <si>
    <t>Brand</t>
  </si>
  <si>
    <t>Total Price</t>
  </si>
  <si>
    <t>S001</t>
  </si>
  <si>
    <t>2024-01-05</t>
  </si>
  <si>
    <t>P001</t>
  </si>
  <si>
    <t>Dhaka</t>
  </si>
  <si>
    <t>Laptop Pro</t>
  </si>
  <si>
    <t>Electronics</t>
  </si>
  <si>
    <t>S002</t>
  </si>
  <si>
    <t>2024-01-12</t>
  </si>
  <si>
    <t>P002</t>
  </si>
  <si>
    <t>Chittagong</t>
  </si>
  <si>
    <t>Wireless Mouse</t>
  </si>
  <si>
    <t>Accessories</t>
  </si>
  <si>
    <t>S003</t>
  </si>
  <si>
    <t>2024-01-20</t>
  </si>
  <si>
    <t>P003</t>
  </si>
  <si>
    <t>Sylhet</t>
  </si>
  <si>
    <t>Office Chair</t>
  </si>
  <si>
    <t>Furniture</t>
  </si>
  <si>
    <t>S004</t>
  </si>
  <si>
    <t>01/25/2024</t>
  </si>
  <si>
    <t>P004</t>
  </si>
  <si>
    <t>Rajshahi</t>
  </si>
  <si>
    <t>Notebook Set</t>
  </si>
  <si>
    <t>Stationery</t>
  </si>
  <si>
    <t>S005</t>
  </si>
  <si>
    <t>2024-02-03</t>
  </si>
  <si>
    <t>P005</t>
  </si>
  <si>
    <t>Khulna</t>
  </si>
  <si>
    <t>USB-C Hub</t>
  </si>
  <si>
    <t>S006</t>
  </si>
  <si>
    <t>2024-02-10</t>
  </si>
  <si>
    <t>P006</t>
  </si>
  <si>
    <t>Standing Desk</t>
  </si>
  <si>
    <t>S007</t>
  </si>
  <si>
    <t>2024-02-18</t>
  </si>
  <si>
    <t>P007</t>
  </si>
  <si>
    <t>Webcam HD</t>
  </si>
  <si>
    <t>S009</t>
  </si>
  <si>
    <t>2024-03-01</t>
  </si>
  <si>
    <t>P009</t>
  </si>
  <si>
    <t>Monitor 27"</t>
  </si>
  <si>
    <t>S010</t>
  </si>
  <si>
    <t>2024-03-08</t>
  </si>
  <si>
    <t>P010</t>
  </si>
  <si>
    <t>Desk Lamp LED</t>
  </si>
  <si>
    <t>S011</t>
  </si>
  <si>
    <t>2024-03-15</t>
  </si>
  <si>
    <t>S012</t>
  </si>
  <si>
    <t>2024-03-22</t>
  </si>
  <si>
    <t>S013</t>
  </si>
  <si>
    <t>03-28-2024</t>
  </si>
  <si>
    <t>S014</t>
  </si>
  <si>
    <t>2024-04-02</t>
  </si>
  <si>
    <t>S015</t>
  </si>
  <si>
    <t>2024-04-10</t>
  </si>
  <si>
    <t>S017</t>
  </si>
  <si>
    <t>2024-04-25</t>
  </si>
  <si>
    <t>S018</t>
  </si>
  <si>
    <t>2024-05-05</t>
  </si>
  <si>
    <t>P008</t>
  </si>
  <si>
    <t>Pen Drive 128GB</t>
  </si>
  <si>
    <t>S019</t>
  </si>
  <si>
    <t>2024-05-12</t>
  </si>
  <si>
    <t>S020</t>
  </si>
  <si>
    <t>2024-05-20</t>
  </si>
  <si>
    <t>S021</t>
  </si>
  <si>
    <t>2024-05-28</t>
  </si>
  <si>
    <t>S022</t>
  </si>
  <si>
    <t>2024-06-03</t>
  </si>
  <si>
    <t>S023</t>
  </si>
  <si>
    <t>2024-06-10</t>
  </si>
  <si>
    <t>S025</t>
  </si>
  <si>
    <t>2024-06-25</t>
  </si>
  <si>
    <t>S026</t>
  </si>
  <si>
    <t>2024-07-02</t>
  </si>
  <si>
    <t>S027</t>
  </si>
  <si>
    <t>2024-07-10</t>
  </si>
  <si>
    <t>S028</t>
  </si>
  <si>
    <t>2024-07-18</t>
  </si>
  <si>
    <t>S029</t>
  </si>
  <si>
    <t>2024-07-25</t>
  </si>
  <si>
    <t>S030</t>
  </si>
  <si>
    <t>2024-08-01</t>
  </si>
  <si>
    <t>S031</t>
  </si>
  <si>
    <t>2024-08-10</t>
  </si>
  <si>
    <t>S032</t>
  </si>
  <si>
    <t>2024-08-18</t>
  </si>
  <si>
    <t>S033</t>
  </si>
  <si>
    <t>2024-08-25</t>
  </si>
  <si>
    <t>S035</t>
  </si>
  <si>
    <t>2024-09-12</t>
  </si>
  <si>
    <t>S036</t>
  </si>
  <si>
    <t>2024-09-20</t>
  </si>
  <si>
    <t>S037</t>
  </si>
  <si>
    <t>2024-09-28</t>
  </si>
  <si>
    <t>S038</t>
  </si>
  <si>
    <t>2024-10-05</t>
  </si>
  <si>
    <t>S039</t>
  </si>
  <si>
    <t>2024-10-15</t>
  </si>
  <si>
    <t>S040</t>
  </si>
  <si>
    <t>2024-10-22</t>
  </si>
  <si>
    <t>S041</t>
  </si>
  <si>
    <t>2024-11-01</t>
  </si>
  <si>
    <t>Unit Price (৳)</t>
  </si>
  <si>
    <t>TechBrand</t>
  </si>
  <si>
    <t>ComfortZone</t>
  </si>
  <si>
    <t>WriteRight</t>
  </si>
  <si>
    <t>StorePro</t>
  </si>
  <si>
    <t>Month</t>
  </si>
  <si>
    <t>Jan</t>
  </si>
  <si>
    <t>Feb</t>
  </si>
  <si>
    <t>Mar</t>
  </si>
  <si>
    <t>Apr</t>
  </si>
  <si>
    <t>May</t>
  </si>
  <si>
    <t>Jun</t>
  </si>
  <si>
    <t>Jul</t>
  </si>
  <si>
    <t>Aug</t>
  </si>
  <si>
    <t>Sep</t>
  </si>
  <si>
    <t>Oct</t>
  </si>
  <si>
    <t>Nov</t>
  </si>
  <si>
    <t>Grand Total</t>
  </si>
  <si>
    <t>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</si>
</sst>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6" x14ac:knownFonts="1">
    <font>
      <sz val="11"/>
      <color theme="1"/>
      <name val="Calibri"/>
      <scheme val="minor"/>
    </font>
    <font>
      <sz val="11"/>
      <color theme="1"/>
      <name val="Calibri"/>
      <family val="2"/>
      <scheme val="minor"/>
    </font>
    <font>
      <b/>
      <sz val="12"/>
      <color rgb="FFFFFFFF"/>
      <name val="Arial"/>
      <family val="2"/>
    </font>
    <font>
      <sz val="10"/>
      <color theme="1"/>
      <name val="Arial"/>
      <family val="2"/>
    </font>
    <font>
      <sz val="11"/>
      <color theme="1"/>
      <name val="Calibri"/>
      <family val="2"/>
      <scheme val="minor"/>
    </font>
    <font>
      <sz val="16"/>
      <color theme="1"/>
      <name val="Calibri"/>
      <family val="2"/>
      <scheme val="minor"/>
    </font>
  </fonts>
  <fills count="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375623"/>
        <bgColor rgb="FF375623"/>
      </patternFill>
    </fill>
    <fill>
      <patternFill patternType="solid">
        <fgColor rgb="FFE2EFDA"/>
        <bgColor rgb="FFE2EFDA"/>
      </patternFill>
    </fill>
  </fills>
  <borders count="6">
    <border>
      <left/>
      <right/>
      <top/>
      <bottom/>
      <diagonal/>
    </border>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164" fontId="4" fillId="0" borderId="0" applyFont="0" applyFill="0" applyBorder="0" applyAlignment="0" applyProtection="0"/>
  </cellStyleXfs>
  <cellXfs count="24">
    <xf numFmtId="0" fontId="0" fillId="0" borderId="0" xfId="0"/>
    <xf numFmtId="0" fontId="2" fillId="2" borderId="1" xfId="0" applyFont="1" applyFill="1" applyBorder="1" applyAlignment="1">
      <alignment horizontal="center" vertical="center" wrapText="1"/>
    </xf>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5" borderId="2" xfId="0" applyFont="1" applyFill="1" applyBorder="1" applyAlignment="1">
      <alignment horizontal="center" vertical="center"/>
    </xf>
    <xf numFmtId="4" fontId="3" fillId="5" borderId="2" xfId="0" applyNumberFormat="1" applyFont="1" applyFill="1" applyBorder="1" applyAlignment="1">
      <alignment horizontal="center" vertical="center"/>
    </xf>
    <xf numFmtId="4" fontId="3" fillId="0" borderId="2" xfId="0" applyNumberFormat="1" applyFont="1" applyBorder="1" applyAlignment="1">
      <alignment horizontal="center" vertical="center"/>
    </xf>
    <xf numFmtId="0" fontId="3" fillId="0" borderId="3" xfId="0" applyFont="1" applyBorder="1" applyAlignment="1">
      <alignment horizontal="center" vertical="center"/>
    </xf>
    <xf numFmtId="0" fontId="3" fillId="3" borderId="3" xfId="0" applyFont="1" applyFill="1" applyBorder="1" applyAlignment="1">
      <alignment horizontal="center" vertical="center"/>
    </xf>
    <xf numFmtId="0" fontId="0" fillId="0" borderId="1" xfId="0" applyBorder="1"/>
    <xf numFmtId="0" fontId="0" fillId="0" borderId="1" xfId="0" applyBorder="1" applyAlignment="1">
      <alignment horizontal="center"/>
    </xf>
    <xf numFmtId="0" fontId="0" fillId="0" borderId="4" xfId="0" applyBorder="1"/>
    <xf numFmtId="0" fontId="2" fillId="2" borderId="4" xfId="0" applyFont="1" applyFill="1" applyBorder="1" applyAlignment="1">
      <alignment horizontal="center" vertical="center" wrapText="1"/>
    </xf>
    <xf numFmtId="0" fontId="1" fillId="0" borderId="4" xfId="0" applyFont="1" applyBorder="1" applyAlignment="1">
      <alignment horizontal="center"/>
    </xf>
    <xf numFmtId="0" fontId="0" fillId="0" borderId="4" xfId="0" applyBorder="1" applyAlignment="1">
      <alignment horizontal="center"/>
    </xf>
    <xf numFmtId="165" fontId="2" fillId="2" borderId="4" xfId="1" applyNumberFormat="1" applyFont="1" applyFill="1" applyBorder="1" applyAlignment="1">
      <alignment horizontal="center" vertical="center" wrapText="1"/>
    </xf>
    <xf numFmtId="165" fontId="0" fillId="0" borderId="4" xfId="1" applyNumberFormat="1" applyFont="1" applyBorder="1" applyAlignment="1">
      <alignment horizontal="center"/>
    </xf>
    <xf numFmtId="0" fontId="0" fillId="0" borderId="5" xfId="0" applyBorder="1" applyAlignment="1">
      <alignment horizontal="center"/>
    </xf>
    <xf numFmtId="165" fontId="0" fillId="0" borderId="5" xfId="1" applyNumberFormat="1" applyFont="1" applyBorder="1" applyAlignment="1">
      <alignment horizontal="center"/>
    </xf>
    <xf numFmtId="165" fontId="0" fillId="0" borderId="1" xfId="1" applyNumberFormat="1" applyFont="1" applyBorder="1" applyAlignment="1">
      <alignment horizontal="center"/>
    </xf>
    <xf numFmtId="0" fontId="5" fillId="0" borderId="0" xfId="0" pivotButton="1" applyFont="1"/>
    <xf numFmtId="0" fontId="5" fillId="0" borderId="0" xfId="0" applyFont="1"/>
    <xf numFmtId="164" fontId="5" fillId="0" borderId="0" xfId="0" applyNumberFormat="1" applyFont="1"/>
  </cellXfs>
  <cellStyles count="2">
    <cellStyle name="Comma" xfId="1" builtinId="3"/>
    <cellStyle name="Normal" xfId="0" builtinId="0"/>
  </cellStyles>
  <dxfs count="376">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numFmt numFmtId="164" formatCode="_-* #,##0.00_-;\-* #,##0.00_-;_-* &quot;-&quot;??_-;_-@_-"/>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64"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11</xdr:col>
      <xdr:colOff>182880</xdr:colOff>
      <xdr:row>2</xdr:row>
      <xdr:rowOff>7620</xdr:rowOff>
    </xdr:from>
    <xdr:to>
      <xdr:col>13</xdr:col>
      <xdr:colOff>419100</xdr:colOff>
      <xdr:row>11</xdr:row>
      <xdr:rowOff>74295</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8B80171C-3EE8-FFC4-41BE-087637E193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611100" y="373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KE" refreshedDate="46221.998899189814" createdVersion="7" refreshedVersion="7" minRefreshableVersion="3" recordCount="40" xr:uid="{25E47070-D874-4E66-A78F-066272594201}">
  <cacheSource type="worksheet">
    <worksheetSource ref="A1:J41" sheet="Sheet2"/>
  </cacheSource>
  <cacheFields count="10">
    <cacheField name="Sale ID" numFmtId="0">
      <sharedItems/>
    </cacheField>
    <cacheField name="Month" numFmtId="0">
      <sharedItems count="11">
        <s v="Jan"/>
        <s v="Feb"/>
        <s v="Mar"/>
        <s v="Apr"/>
        <s v="May"/>
        <s v="Jun"/>
        <s v="Jul"/>
        <s v="Aug"/>
        <s v="Sep"/>
        <s v="Oct"/>
        <s v="Nov"/>
      </sharedItems>
    </cacheField>
    <cacheField name="Date" numFmtId="0">
      <sharedItems/>
    </cacheField>
    <cacheField name="Product ID" numFmtId="0">
      <sharedItems/>
    </cacheField>
    <cacheField name="Region" numFmtId="0">
      <sharedItems count="5">
        <s v="Dhaka"/>
        <s v="Chittagong"/>
        <s v="Sylhet"/>
        <s v="Rajshahi"/>
        <s v="Khulna"/>
      </sharedItems>
    </cacheField>
    <cacheField name="Qty Sold" numFmtId="0">
      <sharedItems containsSemiMixedTypes="0" containsString="0" containsNumber="1" containsInteger="1" minValue="1" maxValue="20"/>
    </cacheField>
    <cacheField name="Product Name" numFmtId="0">
      <sharedItems count="10">
        <s v="Laptop Pro"/>
        <s v="Wireless Mouse"/>
        <s v="Office Chair"/>
        <s v="Notebook Set"/>
        <s v="USB-C Hub"/>
        <s v="Standing Desk"/>
        <s v="Webcam HD"/>
        <s v="Monitor 27&quot;"/>
        <s v="Desk Lamp LED"/>
        <s v="Pen Drive 128GB"/>
      </sharedItems>
    </cacheField>
    <cacheField name="Category" numFmtId="0">
      <sharedItems count="4">
        <s v="Electronics"/>
        <s v="Accessories"/>
        <s v="Furniture"/>
        <s v="Stationery"/>
      </sharedItems>
    </cacheField>
    <cacheField name="Brand" numFmtId="0">
      <sharedItems/>
    </cacheField>
    <cacheField name="Total Price" numFmtId="165">
      <sharedItems containsSemiMixedTypes="0" containsString="0" containsNumber="1" containsInteger="1" minValue="850" maxValue="770000"/>
    </cacheField>
  </cacheFields>
  <extLst>
    <ext xmlns:x14="http://schemas.microsoft.com/office/spreadsheetml/2009/9/main" uri="{725AE2AE-9491-48be-B2B4-4EB974FC3084}">
      <x14:pivotCacheDefinition pivotCacheId="1167224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S001"/>
    <x v="0"/>
    <s v="2024-01-05"/>
    <s v="P001"/>
    <x v="0"/>
    <n v="4"/>
    <x v="0"/>
    <x v="0"/>
    <s v="TechBrand"/>
    <n v="220000"/>
  </r>
  <r>
    <s v="S002"/>
    <x v="0"/>
    <s v="2024-01-12"/>
    <s v="P002"/>
    <x v="1"/>
    <n v="1"/>
    <x v="1"/>
    <x v="1"/>
    <s v="TechBrand"/>
    <n v="1200"/>
  </r>
  <r>
    <s v="S003"/>
    <x v="0"/>
    <s v="2024-01-20"/>
    <s v="P003"/>
    <x v="2"/>
    <n v="9"/>
    <x v="2"/>
    <x v="2"/>
    <s v="ComfortZone"/>
    <n v="135000"/>
  </r>
  <r>
    <s v="S004"/>
    <x v="0"/>
    <s v="01/25/2024"/>
    <s v="P004"/>
    <x v="3"/>
    <n v="8"/>
    <x v="3"/>
    <x v="3"/>
    <s v="WriteRight"/>
    <n v="3600"/>
  </r>
  <r>
    <s v="S005"/>
    <x v="1"/>
    <s v="2024-02-03"/>
    <s v="P005"/>
    <x v="4"/>
    <n v="8"/>
    <x v="4"/>
    <x v="1"/>
    <s v="TechBrand"/>
    <n v="28000"/>
  </r>
  <r>
    <s v="S006"/>
    <x v="1"/>
    <s v="2024-02-10"/>
    <s v="P006"/>
    <x v="0"/>
    <n v="5"/>
    <x v="5"/>
    <x v="2"/>
    <s v="ComfortZone"/>
    <n v="140000"/>
  </r>
  <r>
    <s v="S006"/>
    <x v="1"/>
    <s v="2024-02-10"/>
    <s v="P006"/>
    <x v="0"/>
    <n v="5"/>
    <x v="5"/>
    <x v="2"/>
    <s v="ComfortZone"/>
    <n v="140000"/>
  </r>
  <r>
    <s v="S007"/>
    <x v="1"/>
    <s v="2024-02-18"/>
    <s v="P007"/>
    <x v="1"/>
    <n v="4"/>
    <x v="6"/>
    <x v="0"/>
    <s v="TechBrand"/>
    <n v="18000"/>
  </r>
  <r>
    <s v="S009"/>
    <x v="2"/>
    <s v="2024-03-01"/>
    <s v="P009"/>
    <x v="3"/>
    <n v="3"/>
    <x v="7"/>
    <x v="0"/>
    <s v="TechBrand"/>
    <n v="96000"/>
  </r>
  <r>
    <s v="S010"/>
    <x v="2"/>
    <s v="2024-03-08"/>
    <s v="P010"/>
    <x v="4"/>
    <n v="19"/>
    <x v="8"/>
    <x v="2"/>
    <s v="ComfortZone"/>
    <n v="41800"/>
  </r>
  <r>
    <s v="S011"/>
    <x v="2"/>
    <s v="2024-03-15"/>
    <s v="P001"/>
    <x v="0"/>
    <n v="14"/>
    <x v="0"/>
    <x v="0"/>
    <s v="TechBrand"/>
    <n v="770000"/>
  </r>
  <r>
    <s v="S012"/>
    <x v="2"/>
    <s v="2024-03-22"/>
    <s v="P002"/>
    <x v="1"/>
    <n v="2"/>
    <x v="1"/>
    <x v="1"/>
    <s v="TechBrand"/>
    <n v="2400"/>
  </r>
  <r>
    <s v="S013"/>
    <x v="2"/>
    <s v="03-28-2024"/>
    <s v="P003"/>
    <x v="2"/>
    <n v="1"/>
    <x v="2"/>
    <x v="2"/>
    <s v="ComfortZone"/>
    <n v="15000"/>
  </r>
  <r>
    <s v="S014"/>
    <x v="3"/>
    <s v="2024-04-02"/>
    <s v="P004"/>
    <x v="3"/>
    <n v="3"/>
    <x v="3"/>
    <x v="3"/>
    <s v="WriteRight"/>
    <n v="1350"/>
  </r>
  <r>
    <s v="S015"/>
    <x v="3"/>
    <s v="2024-04-10"/>
    <s v="P005"/>
    <x v="4"/>
    <n v="7"/>
    <x v="4"/>
    <x v="1"/>
    <s v="TechBrand"/>
    <n v="24500"/>
  </r>
  <r>
    <s v="S017"/>
    <x v="3"/>
    <s v="2024-04-25"/>
    <s v="P007"/>
    <x v="1"/>
    <n v="17"/>
    <x v="6"/>
    <x v="0"/>
    <s v="TechBrand"/>
    <n v="76500"/>
  </r>
  <r>
    <s v="S018"/>
    <x v="4"/>
    <s v="2024-05-05"/>
    <s v="P008"/>
    <x v="2"/>
    <n v="20"/>
    <x v="9"/>
    <x v="1"/>
    <s v="StorePro"/>
    <n v="17000"/>
  </r>
  <r>
    <s v="S019"/>
    <x v="4"/>
    <s v="2024-05-12"/>
    <s v="P009"/>
    <x v="3"/>
    <n v="1"/>
    <x v="7"/>
    <x v="0"/>
    <s v="TechBrand"/>
    <n v="32000"/>
  </r>
  <r>
    <s v="S020"/>
    <x v="4"/>
    <s v="2024-05-20"/>
    <s v="P010"/>
    <x v="4"/>
    <n v="18"/>
    <x v="8"/>
    <x v="2"/>
    <s v="ComfortZone"/>
    <n v="39600"/>
  </r>
  <r>
    <s v="S021"/>
    <x v="4"/>
    <s v="2024-05-28"/>
    <s v="P001"/>
    <x v="0"/>
    <n v="7"/>
    <x v="0"/>
    <x v="0"/>
    <s v="TechBrand"/>
    <n v="385000"/>
  </r>
  <r>
    <s v="S021"/>
    <x v="4"/>
    <s v="2024-05-28"/>
    <s v="P001"/>
    <x v="0"/>
    <n v="7"/>
    <x v="0"/>
    <x v="0"/>
    <s v="TechBrand"/>
    <n v="385000"/>
  </r>
  <r>
    <s v="S022"/>
    <x v="5"/>
    <s v="2024-06-03"/>
    <s v="P002"/>
    <x v="1"/>
    <n v="18"/>
    <x v="1"/>
    <x v="1"/>
    <s v="TechBrand"/>
    <n v="21600"/>
  </r>
  <r>
    <s v="S023"/>
    <x v="5"/>
    <s v="2024-06-10"/>
    <s v="P003"/>
    <x v="2"/>
    <n v="14"/>
    <x v="2"/>
    <x v="2"/>
    <s v="ComfortZone"/>
    <n v="210000"/>
  </r>
  <r>
    <s v="S025"/>
    <x v="5"/>
    <s v="2024-06-25"/>
    <s v="P005"/>
    <x v="4"/>
    <n v="15"/>
    <x v="4"/>
    <x v="1"/>
    <s v="TechBrand"/>
    <n v="52500"/>
  </r>
  <r>
    <s v="S026"/>
    <x v="6"/>
    <s v="2024-07-02"/>
    <s v="P006"/>
    <x v="0"/>
    <n v="19"/>
    <x v="5"/>
    <x v="2"/>
    <s v="ComfortZone"/>
    <n v="532000"/>
  </r>
  <r>
    <s v="S027"/>
    <x v="6"/>
    <s v="2024-07-10"/>
    <s v="P007"/>
    <x v="1"/>
    <n v="9"/>
    <x v="6"/>
    <x v="0"/>
    <s v="TechBrand"/>
    <n v="40500"/>
  </r>
  <r>
    <s v="S028"/>
    <x v="6"/>
    <s v="2024-07-18"/>
    <s v="P008"/>
    <x v="2"/>
    <n v="1"/>
    <x v="9"/>
    <x v="1"/>
    <s v="StorePro"/>
    <n v="850"/>
  </r>
  <r>
    <s v="S029"/>
    <x v="6"/>
    <s v="2024-07-25"/>
    <s v="P009"/>
    <x v="3"/>
    <n v="6"/>
    <x v="7"/>
    <x v="0"/>
    <s v="TechBrand"/>
    <n v="192000"/>
  </r>
  <r>
    <s v="S030"/>
    <x v="7"/>
    <s v="2024-08-01"/>
    <s v="P010"/>
    <x v="4"/>
    <n v="14"/>
    <x v="8"/>
    <x v="2"/>
    <s v="ComfortZone"/>
    <n v="30800"/>
  </r>
  <r>
    <s v="S031"/>
    <x v="7"/>
    <s v="2024-08-10"/>
    <s v="P001"/>
    <x v="0"/>
    <n v="11"/>
    <x v="0"/>
    <x v="0"/>
    <s v="TechBrand"/>
    <n v="605000"/>
  </r>
  <r>
    <s v="S032"/>
    <x v="7"/>
    <s v="2024-08-18"/>
    <s v="P002"/>
    <x v="1"/>
    <n v="9"/>
    <x v="1"/>
    <x v="1"/>
    <s v="TechBrand"/>
    <n v="10800"/>
  </r>
  <r>
    <s v="S033"/>
    <x v="7"/>
    <s v="2024-08-25"/>
    <s v="P003"/>
    <x v="2"/>
    <n v="5"/>
    <x v="2"/>
    <x v="2"/>
    <s v="ComfortZone"/>
    <n v="75000"/>
  </r>
  <r>
    <s v="S035"/>
    <x v="8"/>
    <s v="2024-09-12"/>
    <s v="P005"/>
    <x v="4"/>
    <n v="11"/>
    <x v="4"/>
    <x v="1"/>
    <s v="TechBrand"/>
    <n v="38500"/>
  </r>
  <r>
    <s v="S036"/>
    <x v="8"/>
    <s v="2024-09-20"/>
    <s v="P006"/>
    <x v="0"/>
    <n v="4"/>
    <x v="5"/>
    <x v="2"/>
    <s v="ComfortZone"/>
    <n v="112000"/>
  </r>
  <r>
    <s v="S036"/>
    <x v="8"/>
    <s v="2024-09-20"/>
    <s v="P006"/>
    <x v="0"/>
    <n v="4"/>
    <x v="5"/>
    <x v="2"/>
    <s v="ComfortZone"/>
    <n v="112000"/>
  </r>
  <r>
    <s v="S037"/>
    <x v="8"/>
    <s v="2024-09-28"/>
    <s v="P007"/>
    <x v="1"/>
    <n v="3"/>
    <x v="6"/>
    <x v="0"/>
    <s v="TechBrand"/>
    <n v="13500"/>
  </r>
  <r>
    <s v="S038"/>
    <x v="9"/>
    <s v="2024-10-05"/>
    <s v="P008"/>
    <x v="2"/>
    <n v="13"/>
    <x v="9"/>
    <x v="1"/>
    <s v="StorePro"/>
    <n v="11050"/>
  </r>
  <r>
    <s v="S039"/>
    <x v="9"/>
    <s v="2024-10-15"/>
    <s v="P009"/>
    <x v="3"/>
    <n v="4"/>
    <x v="7"/>
    <x v="0"/>
    <s v="TechBrand"/>
    <n v="128000"/>
  </r>
  <r>
    <s v="S040"/>
    <x v="9"/>
    <s v="2024-10-22"/>
    <s v="P010"/>
    <x v="4"/>
    <n v="12"/>
    <x v="8"/>
    <x v="2"/>
    <s v="ComfortZone"/>
    <n v="26400"/>
  </r>
  <r>
    <s v="S041"/>
    <x v="10"/>
    <s v="2024-11-01"/>
    <s v="P001"/>
    <x v="0"/>
    <n v="12"/>
    <x v="0"/>
    <x v="0"/>
    <s v="TechBrand"/>
    <n v="6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B9EF5A-3213-4D38-979A-0805F2D584A7}" name="productcategory_sales" cacheId="5"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J3:K8" firstHeaderRow="1" firstDataRow="1" firstDataCol="1"/>
  <pivotFields count="1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items count="6">
        <item x="1"/>
        <item x="0"/>
        <item x="4"/>
        <item x="3"/>
        <item x="2"/>
        <item t="default"/>
      </items>
    </pivotField>
    <pivotField compact="0" outline="0" showAll="0"/>
    <pivotField compact="0" outline="0" showAll="0"/>
    <pivotField axis="axisRow" compact="0" outline="0" showAll="0">
      <items count="5">
        <item x="1"/>
        <item x="0"/>
        <item x="2"/>
        <item x="3"/>
        <item t="default"/>
      </items>
    </pivotField>
    <pivotField compact="0" outline="0" showAll="0"/>
    <pivotField dataField="1" compact="0" numFmtId="165" outline="0" showAll="0"/>
  </pivotFields>
  <rowFields count="1">
    <field x="7"/>
  </rowFields>
  <rowItems count="5">
    <i>
      <x/>
    </i>
    <i>
      <x v="1"/>
    </i>
    <i>
      <x v="2"/>
    </i>
    <i>
      <x v="3"/>
    </i>
    <i t="grand">
      <x/>
    </i>
  </rowItems>
  <colItems count="1">
    <i/>
  </colItems>
  <dataFields count="1">
    <dataField name="Total Sale" fld="9" baseField="0" baseItem="0" numFmtId="164"/>
  </dataFields>
  <formats count="6">
    <format dxfId="351">
      <pivotArea outline="0" collapsedLevelsAreSubtotals="1" fieldPosition="0"/>
    </format>
    <format dxfId="352">
      <pivotArea type="all" dataOnly="0" outline="0" fieldPosition="0"/>
    </format>
    <format dxfId="353">
      <pivotArea outline="0" collapsedLevelsAreSubtotals="1" fieldPosition="0"/>
    </format>
    <format dxfId="354">
      <pivotArea field="1" type="button" dataOnly="0" labelOnly="1" outline="0"/>
    </format>
    <format dxfId="355">
      <pivotArea dataOnly="0" labelOnly="1" grandRow="1" outline="0" fieldPosition="0"/>
    </format>
    <format dxfId="3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6400F2-21E4-469F-9AF0-F99BBDA61EFA}" name="productname_sales" cacheId="5"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G3:H14" firstHeaderRow="1" firstDataRow="1" firstDataCol="1"/>
  <pivotFields count="1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items count="6">
        <item x="1"/>
        <item x="0"/>
        <item x="4"/>
        <item x="3"/>
        <item x="2"/>
        <item t="default"/>
      </items>
    </pivotField>
    <pivotField compact="0" outline="0" showAll="0"/>
    <pivotField axis="axisRow" compact="0" outline="0" showAll="0">
      <items count="11">
        <item x="8"/>
        <item x="0"/>
        <item x="7"/>
        <item x="3"/>
        <item x="2"/>
        <item x="9"/>
        <item x="5"/>
        <item x="4"/>
        <item x="6"/>
        <item x="1"/>
        <item t="default"/>
      </items>
    </pivotField>
    <pivotField compact="0" outline="0" showAll="0"/>
    <pivotField compact="0" outline="0" showAll="0"/>
    <pivotField dataField="1" compact="0" numFmtId="165" outline="0" showAll="0"/>
  </pivotFields>
  <rowFields count="1">
    <field x="6"/>
  </rowFields>
  <rowItems count="11">
    <i>
      <x/>
    </i>
    <i>
      <x v="1"/>
    </i>
    <i>
      <x v="2"/>
    </i>
    <i>
      <x v="3"/>
    </i>
    <i>
      <x v="4"/>
    </i>
    <i>
      <x v="5"/>
    </i>
    <i>
      <x v="6"/>
    </i>
    <i>
      <x v="7"/>
    </i>
    <i>
      <x v="8"/>
    </i>
    <i>
      <x v="9"/>
    </i>
    <i t="grand">
      <x/>
    </i>
  </rowItems>
  <colItems count="1">
    <i/>
  </colItems>
  <dataFields count="1">
    <dataField name="Total Sale" fld="9" baseField="0" baseItem="0" numFmtId="164"/>
  </dataFields>
  <formats count="6">
    <format dxfId="357">
      <pivotArea outline="0" collapsedLevelsAreSubtotals="1" fieldPosition="0"/>
    </format>
    <format dxfId="358">
      <pivotArea type="all" dataOnly="0" outline="0" fieldPosition="0"/>
    </format>
    <format dxfId="359">
      <pivotArea outline="0" collapsedLevelsAreSubtotals="1" fieldPosition="0"/>
    </format>
    <format dxfId="360">
      <pivotArea field="1" type="button" dataOnly="0" labelOnly="1" outline="0"/>
    </format>
    <format dxfId="361">
      <pivotArea dataOnly="0" labelOnly="1" grandRow="1" outline="0" fieldPosition="0"/>
    </format>
    <format dxfId="3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DD952B-FAC6-40F9-AA5F-00E82A8D09AD}" name="region_sales" cacheId="5"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D3:E9" firstHeaderRow="1" firstDataRow="1" firstDataCol="1"/>
  <pivotFields count="1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axis="axisRow" compact="0" outline="0" showAll="0">
      <items count="6">
        <item x="1"/>
        <item x="0"/>
        <item x="4"/>
        <item x="3"/>
        <item x="2"/>
        <item t="default"/>
      </items>
    </pivotField>
    <pivotField compact="0" outline="0" showAll="0"/>
    <pivotField compact="0" outline="0" showAll="0"/>
    <pivotField compact="0" outline="0" showAll="0"/>
    <pivotField compact="0" outline="0" showAll="0"/>
    <pivotField dataField="1" compact="0" numFmtId="165" outline="0" showAll="0"/>
  </pivotFields>
  <rowFields count="1">
    <field x="4"/>
  </rowFields>
  <rowItems count="6">
    <i>
      <x/>
    </i>
    <i>
      <x v="1"/>
    </i>
    <i>
      <x v="2"/>
    </i>
    <i>
      <x v="3"/>
    </i>
    <i>
      <x v="4"/>
    </i>
    <i t="grand">
      <x/>
    </i>
  </rowItems>
  <colItems count="1">
    <i/>
  </colItems>
  <dataFields count="1">
    <dataField name="Total Sale" fld="9" baseField="0" baseItem="0" numFmtId="164"/>
  </dataFields>
  <formats count="6">
    <format dxfId="363">
      <pivotArea outline="0" collapsedLevelsAreSubtotals="1" fieldPosition="0"/>
    </format>
    <format dxfId="364">
      <pivotArea type="all" dataOnly="0" outline="0" fieldPosition="0"/>
    </format>
    <format dxfId="365">
      <pivotArea outline="0" collapsedLevelsAreSubtotals="1" fieldPosition="0"/>
    </format>
    <format dxfId="366">
      <pivotArea field="1" type="button" dataOnly="0" labelOnly="1" outline="0"/>
    </format>
    <format dxfId="367">
      <pivotArea dataOnly="0" labelOnly="1" grandRow="1" outline="0" fieldPosition="0"/>
    </format>
    <format dxfId="3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A74C0D-44F7-4925-B9F8-FF748A2C02BC}" name="month_sales" cacheId="5"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15" firstHeaderRow="1" firstDataRow="1" firstDataCol="1"/>
  <pivotFields count="10">
    <pivotField compact="0" outline="0" showAll="0"/>
    <pivotField axis="axisRow"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5" outline="0" showAll="0"/>
  </pivotFields>
  <rowFields count="1">
    <field x="1"/>
  </rowFields>
  <rowItems count="12">
    <i>
      <x/>
    </i>
    <i>
      <x v="1"/>
    </i>
    <i>
      <x v="2"/>
    </i>
    <i>
      <x v="3"/>
    </i>
    <i>
      <x v="4"/>
    </i>
    <i>
      <x v="5"/>
    </i>
    <i>
      <x v="6"/>
    </i>
    <i>
      <x v="7"/>
    </i>
    <i>
      <x v="8"/>
    </i>
    <i>
      <x v="9"/>
    </i>
    <i>
      <x v="10"/>
    </i>
    <i t="grand">
      <x/>
    </i>
  </rowItems>
  <colItems count="1">
    <i/>
  </colItems>
  <dataFields count="1">
    <dataField name="Total Sale" fld="9" baseField="0" baseItem="0" numFmtId="164"/>
  </dataFields>
  <formats count="7">
    <format dxfId="375">
      <pivotArea outline="0" collapsedLevelsAreSubtotals="1" fieldPosition="0"/>
    </format>
    <format dxfId="374">
      <pivotArea type="all" dataOnly="0" outline="0" fieldPosition="0"/>
    </format>
    <format dxfId="373">
      <pivotArea outline="0" collapsedLevelsAreSubtotals="1" fieldPosition="0"/>
    </format>
    <format dxfId="372">
      <pivotArea field="1" type="button" dataOnly="0" labelOnly="1" outline="0" axis="axisRow" fieldPosition="0"/>
    </format>
    <format dxfId="371">
      <pivotArea dataOnly="0" labelOnly="1" outline="0" fieldPosition="0">
        <references count="1">
          <reference field="1" count="0"/>
        </references>
      </pivotArea>
    </format>
    <format dxfId="370">
      <pivotArea dataOnly="0" labelOnly="1" grandRow="1" outline="0" fieldPosition="0"/>
    </format>
    <format dxfId="3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FB4EC41-1CBD-45D7-90E0-038E93BAD8D3}" sourceName="Month">
  <pivotTables>
    <pivotTable tabId="4" name="month_sales"/>
    <pivotTable tabId="4" name="productcategory_sales"/>
    <pivotTable tabId="4" name="productname_sales"/>
    <pivotTable tabId="4" name="region_sales"/>
  </pivotTables>
  <data>
    <tabular pivotCacheId="1167224161">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F227F2F-9E99-497F-B577-006C74605616}" cache="Slicer_Month" caption="Month"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B996-E98F-4E16-A34B-9DD2229AD853}">
  <dimension ref="A3:K19"/>
  <sheetViews>
    <sheetView tabSelected="1" topLeftCell="B1" zoomScaleNormal="100" workbookViewId="0">
      <selection activeCell="D3" sqref="D3:E9"/>
    </sheetView>
  </sheetViews>
  <sheetFormatPr defaultRowHeight="14.4" x14ac:dyDescent="0.3"/>
  <cols>
    <col min="1" max="1" width="16.44140625" bestFit="1" customWidth="1"/>
    <col min="2" max="2" width="19.5546875" bestFit="1" customWidth="1"/>
    <col min="4" max="4" width="16.44140625" bestFit="1" customWidth="1"/>
    <col min="5" max="5" width="19.5546875" bestFit="1" customWidth="1"/>
    <col min="7" max="7" width="23.6640625" bestFit="1" customWidth="1"/>
    <col min="8" max="8" width="19.5546875" bestFit="1" customWidth="1"/>
    <col min="9" max="9" width="12.21875" customWidth="1"/>
    <col min="10" max="10" width="16.44140625" bestFit="1" customWidth="1"/>
    <col min="11" max="11" width="19.5546875" bestFit="1" customWidth="1"/>
    <col min="12" max="12" width="14.33203125" customWidth="1"/>
  </cols>
  <sheetData>
    <row r="3" spans="1:11" ht="21" x14ac:dyDescent="0.4">
      <c r="A3" s="21" t="s">
        <v>117</v>
      </c>
      <c r="B3" s="22" t="s">
        <v>130</v>
      </c>
      <c r="D3" s="21" t="s">
        <v>3</v>
      </c>
      <c r="E3" s="22" t="s">
        <v>130</v>
      </c>
      <c r="G3" s="21" t="s">
        <v>5</v>
      </c>
      <c r="H3" s="22" t="s">
        <v>130</v>
      </c>
      <c r="J3" s="21" t="s">
        <v>6</v>
      </c>
      <c r="K3" s="22" t="s">
        <v>130</v>
      </c>
    </row>
    <row r="4" spans="1:11" ht="21" x14ac:dyDescent="0.4">
      <c r="A4" s="22" t="s">
        <v>118</v>
      </c>
      <c r="B4" s="23">
        <v>359800</v>
      </c>
      <c r="D4" s="22" t="s">
        <v>18</v>
      </c>
      <c r="E4" s="23">
        <v>184500</v>
      </c>
      <c r="G4" s="22" t="s">
        <v>53</v>
      </c>
      <c r="H4" s="23">
        <v>138600</v>
      </c>
      <c r="J4" s="22" t="s">
        <v>20</v>
      </c>
      <c r="K4" s="23">
        <v>208400</v>
      </c>
    </row>
    <row r="5" spans="1:11" ht="21" x14ac:dyDescent="0.4">
      <c r="A5" s="22" t="s">
        <v>119</v>
      </c>
      <c r="B5" s="23">
        <v>326000</v>
      </c>
      <c r="D5" s="22" t="s">
        <v>12</v>
      </c>
      <c r="E5" s="23">
        <v>4061000</v>
      </c>
      <c r="G5" s="22" t="s">
        <v>13</v>
      </c>
      <c r="H5" s="23">
        <v>3025000</v>
      </c>
      <c r="J5" s="22" t="s">
        <v>14</v>
      </c>
      <c r="K5" s="23">
        <v>3621500</v>
      </c>
    </row>
    <row r="6" spans="1:11" ht="21" x14ac:dyDescent="0.4">
      <c r="A6" s="22" t="s">
        <v>120</v>
      </c>
      <c r="B6" s="23">
        <v>925200</v>
      </c>
      <c r="D6" s="22" t="s">
        <v>36</v>
      </c>
      <c r="E6" s="23">
        <v>282100</v>
      </c>
      <c r="G6" s="22" t="s">
        <v>49</v>
      </c>
      <c r="H6" s="23">
        <v>448000</v>
      </c>
      <c r="J6" s="22" t="s">
        <v>26</v>
      </c>
      <c r="K6" s="23">
        <v>1609600</v>
      </c>
    </row>
    <row r="7" spans="1:11" ht="21" x14ac:dyDescent="0.4">
      <c r="A7" s="22" t="s">
        <v>121</v>
      </c>
      <c r="B7" s="23">
        <v>102350</v>
      </c>
      <c r="D7" s="22" t="s">
        <v>30</v>
      </c>
      <c r="E7" s="23">
        <v>452950</v>
      </c>
      <c r="G7" s="22" t="s">
        <v>31</v>
      </c>
      <c r="H7" s="23">
        <v>4950</v>
      </c>
      <c r="J7" s="22" t="s">
        <v>32</v>
      </c>
      <c r="K7" s="23">
        <v>4950</v>
      </c>
    </row>
    <row r="8" spans="1:11" ht="21" x14ac:dyDescent="0.4">
      <c r="A8" s="22" t="s">
        <v>122</v>
      </c>
      <c r="B8" s="23">
        <v>858600</v>
      </c>
      <c r="D8" s="22" t="s">
        <v>24</v>
      </c>
      <c r="E8" s="23">
        <v>463900</v>
      </c>
      <c r="G8" s="22" t="s">
        <v>25</v>
      </c>
      <c r="H8" s="23">
        <v>435000</v>
      </c>
      <c r="J8" s="22" t="s">
        <v>129</v>
      </c>
      <c r="K8" s="23">
        <v>5444450</v>
      </c>
    </row>
    <row r="9" spans="1:11" ht="21" x14ac:dyDescent="0.4">
      <c r="A9" s="22" t="s">
        <v>123</v>
      </c>
      <c r="B9" s="23">
        <v>284100</v>
      </c>
      <c r="D9" s="22" t="s">
        <v>129</v>
      </c>
      <c r="E9" s="23">
        <v>5444450</v>
      </c>
      <c r="G9" s="22" t="s">
        <v>69</v>
      </c>
      <c r="H9" s="23">
        <v>28900</v>
      </c>
    </row>
    <row r="10" spans="1:11" ht="21" x14ac:dyDescent="0.4">
      <c r="A10" s="22" t="s">
        <v>124</v>
      </c>
      <c r="B10" s="23">
        <v>765350</v>
      </c>
      <c r="G10" s="22" t="s">
        <v>41</v>
      </c>
      <c r="H10" s="23">
        <v>1036000</v>
      </c>
    </row>
    <row r="11" spans="1:11" ht="21" x14ac:dyDescent="0.4">
      <c r="A11" s="22" t="s">
        <v>125</v>
      </c>
      <c r="B11" s="23">
        <v>721600</v>
      </c>
      <c r="G11" s="22" t="s">
        <v>37</v>
      </c>
      <c r="H11" s="23">
        <v>143500</v>
      </c>
    </row>
    <row r="12" spans="1:11" ht="21" x14ac:dyDescent="0.4">
      <c r="A12" s="22" t="s">
        <v>126</v>
      </c>
      <c r="B12" s="23">
        <v>276000</v>
      </c>
      <c r="G12" s="22" t="s">
        <v>45</v>
      </c>
      <c r="H12" s="23">
        <v>148500</v>
      </c>
    </row>
    <row r="13" spans="1:11" ht="21" x14ac:dyDescent="0.4">
      <c r="A13" s="22" t="s">
        <v>127</v>
      </c>
      <c r="B13" s="23">
        <v>165450</v>
      </c>
      <c r="G13" s="22" t="s">
        <v>19</v>
      </c>
      <c r="H13" s="23">
        <v>36000</v>
      </c>
    </row>
    <row r="14" spans="1:11" ht="21" x14ac:dyDescent="0.4">
      <c r="A14" s="22" t="s">
        <v>128</v>
      </c>
      <c r="B14" s="23">
        <v>660000</v>
      </c>
      <c r="G14" s="22" t="s">
        <v>129</v>
      </c>
      <c r="H14" s="23">
        <v>5444450</v>
      </c>
    </row>
    <row r="15" spans="1:11" ht="21" x14ac:dyDescent="0.4">
      <c r="A15" s="22" t="s">
        <v>129</v>
      </c>
      <c r="B15" s="23">
        <v>5444450</v>
      </c>
    </row>
    <row r="16" spans="1:11" ht="21" x14ac:dyDescent="0.4"/>
    <row r="17" ht="21" x14ac:dyDescent="0.4"/>
    <row r="18" ht="21" x14ac:dyDescent="0.4"/>
    <row r="19" ht="21" x14ac:dyDescent="0.4"/>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opLeftCell="D1" zoomScale="117" zoomScaleNormal="107" workbookViewId="0">
      <selection sqref="A1:J41"/>
    </sheetView>
  </sheetViews>
  <sheetFormatPr defaultColWidth="14.44140625" defaultRowHeight="15" customHeight="1" x14ac:dyDescent="0.3"/>
  <cols>
    <col min="1" max="5" width="20.77734375" customWidth="1"/>
    <col min="6" max="6" width="20.77734375" style="10" customWidth="1"/>
    <col min="7" max="9" width="20.77734375" style="15" customWidth="1"/>
    <col min="10" max="10" width="20.77734375" style="17" customWidth="1"/>
    <col min="11" max="27" width="8.6640625" customWidth="1"/>
  </cols>
  <sheetData>
    <row r="1" spans="1:12" ht="18" customHeight="1" x14ac:dyDescent="0.3">
      <c r="A1" s="1" t="s">
        <v>0</v>
      </c>
      <c r="B1" s="1" t="s">
        <v>117</v>
      </c>
      <c r="C1" s="1" t="s">
        <v>1</v>
      </c>
      <c r="D1" s="1" t="s">
        <v>2</v>
      </c>
      <c r="E1" s="1" t="s">
        <v>3</v>
      </c>
      <c r="F1" s="1" t="s">
        <v>4</v>
      </c>
      <c r="G1" s="13" t="s">
        <v>5</v>
      </c>
      <c r="H1" s="13" t="s">
        <v>6</v>
      </c>
      <c r="I1" s="13" t="s">
        <v>7</v>
      </c>
      <c r="J1" s="16" t="s">
        <v>8</v>
      </c>
    </row>
    <row r="2" spans="1:12" ht="18" customHeight="1" x14ac:dyDescent="0.3">
      <c r="A2" s="2" t="s">
        <v>9</v>
      </c>
      <c r="B2" s="2" t="str">
        <f>TEXT(C2,"mmm")</f>
        <v>Jan</v>
      </c>
      <c r="C2" s="2" t="s">
        <v>10</v>
      </c>
      <c r="D2" s="2" t="s">
        <v>11</v>
      </c>
      <c r="E2" s="2" t="s">
        <v>12</v>
      </c>
      <c r="F2" s="8">
        <v>4</v>
      </c>
      <c r="G2" s="14" t="str" cm="1">
        <f t="array" ref="G2:I2">_xlfn.XLOOKUP(D2,Sheet3!$A$2:$A$11,Sheet3!$B$2:$D$11)</f>
        <v>Laptop Pro</v>
      </c>
      <c r="H2" s="14" t="str">
        <v>Electronics</v>
      </c>
      <c r="I2" s="15" t="str">
        <v>TechBrand</v>
      </c>
      <c r="J2" s="17">
        <f>_xlfn.XLOOKUP(D2,Sheet3!$A$2:$A$11,Sheet3!$E$2:$E$11)*Sheet2!F2</f>
        <v>220000</v>
      </c>
    </row>
    <row r="3" spans="1:12" ht="18" customHeight="1" x14ac:dyDescent="0.3">
      <c r="A3" s="3" t="s">
        <v>15</v>
      </c>
      <c r="B3" s="2" t="str">
        <f t="shared" ref="B3:B41" si="0">TEXT(C3,"mmm")</f>
        <v>Jan</v>
      </c>
      <c r="C3" s="3" t="s">
        <v>16</v>
      </c>
      <c r="D3" s="3" t="s">
        <v>17</v>
      </c>
      <c r="E3" s="3" t="s">
        <v>18</v>
      </c>
      <c r="F3" s="9">
        <v>1</v>
      </c>
      <c r="G3" s="14" t="str" cm="1">
        <f t="array" ref="G3:I3">_xlfn.XLOOKUP(D3,Sheet3!$A$2:$A$11,Sheet3!$B$2:$D$11)</f>
        <v>Wireless Mouse</v>
      </c>
      <c r="H3" s="14" t="str">
        <v>Accessories</v>
      </c>
      <c r="I3" s="15" t="str">
        <v>TechBrand</v>
      </c>
      <c r="J3" s="17">
        <f>_xlfn.XLOOKUP(D3,Sheet3!$A$2:$A$11,Sheet3!$E$2:$E$11)*Sheet2!F3</f>
        <v>1200</v>
      </c>
    </row>
    <row r="4" spans="1:12" ht="18" customHeight="1" x14ac:dyDescent="0.3">
      <c r="A4" s="2" t="s">
        <v>21</v>
      </c>
      <c r="B4" s="2" t="str">
        <f t="shared" si="0"/>
        <v>Jan</v>
      </c>
      <c r="C4" s="2" t="s">
        <v>22</v>
      </c>
      <c r="D4" s="2" t="s">
        <v>23</v>
      </c>
      <c r="E4" s="2" t="s">
        <v>24</v>
      </c>
      <c r="F4" s="8">
        <v>9</v>
      </c>
      <c r="G4" s="14" t="str" cm="1">
        <f t="array" ref="G4:I4">_xlfn.XLOOKUP(D4,Sheet3!$A$2:$A$11,Sheet3!$B$2:$D$11)</f>
        <v>Office Chair</v>
      </c>
      <c r="H4" s="14" t="str">
        <v>Furniture</v>
      </c>
      <c r="I4" s="15" t="str">
        <v>ComfortZone</v>
      </c>
      <c r="J4" s="17">
        <f>_xlfn.XLOOKUP(D4,Sheet3!$A$2:$A$11,Sheet3!$E$2:$E$11)*Sheet2!F4</f>
        <v>135000</v>
      </c>
    </row>
    <row r="5" spans="1:12" ht="18" customHeight="1" x14ac:dyDescent="0.3">
      <c r="A5" s="3" t="s">
        <v>27</v>
      </c>
      <c r="B5" s="2" t="str">
        <f t="shared" si="0"/>
        <v>Jan</v>
      </c>
      <c r="C5" s="3" t="s">
        <v>28</v>
      </c>
      <c r="D5" s="3" t="s">
        <v>29</v>
      </c>
      <c r="E5" s="3" t="s">
        <v>30</v>
      </c>
      <c r="F5" s="9">
        <v>8</v>
      </c>
      <c r="G5" s="14" t="str" cm="1">
        <f t="array" ref="G5:I5">_xlfn.XLOOKUP(D5,Sheet3!$A$2:$A$11,Sheet3!$B$2:$D$11)</f>
        <v>Notebook Set</v>
      </c>
      <c r="H5" s="14" t="str">
        <v>Stationery</v>
      </c>
      <c r="I5" s="15" t="str">
        <v>WriteRight</v>
      </c>
      <c r="J5" s="17">
        <f>_xlfn.XLOOKUP(D5,Sheet3!$A$2:$A$11,Sheet3!$E$2:$E$11)*Sheet2!F5</f>
        <v>3600</v>
      </c>
    </row>
    <row r="6" spans="1:12" ht="18" customHeight="1" x14ac:dyDescent="0.3">
      <c r="A6" s="2" t="s">
        <v>33</v>
      </c>
      <c r="B6" s="2" t="str">
        <f t="shared" si="0"/>
        <v>Feb</v>
      </c>
      <c r="C6" s="2" t="s">
        <v>34</v>
      </c>
      <c r="D6" s="2" t="s">
        <v>35</v>
      </c>
      <c r="E6" s="2" t="s">
        <v>36</v>
      </c>
      <c r="F6" s="8">
        <v>8</v>
      </c>
      <c r="G6" s="14" t="str" cm="1">
        <f t="array" ref="G6:I6">_xlfn.XLOOKUP(D6,Sheet3!$A$2:$A$11,Sheet3!$B$2:$D$11)</f>
        <v>USB-C Hub</v>
      </c>
      <c r="H6" s="14" t="str">
        <v>Accessories</v>
      </c>
      <c r="I6" s="15" t="str">
        <v>TechBrand</v>
      </c>
      <c r="J6" s="17">
        <f>_xlfn.XLOOKUP(D6,Sheet3!$A$2:$A$11,Sheet3!$E$2:$E$11)*Sheet2!F6</f>
        <v>28000</v>
      </c>
    </row>
    <row r="7" spans="1:12" ht="18" customHeight="1" x14ac:dyDescent="0.3">
      <c r="A7" s="3" t="s">
        <v>38</v>
      </c>
      <c r="B7" s="2" t="str">
        <f t="shared" si="0"/>
        <v>Feb</v>
      </c>
      <c r="C7" s="3" t="s">
        <v>39</v>
      </c>
      <c r="D7" s="3" t="s">
        <v>40</v>
      </c>
      <c r="E7" s="3" t="s">
        <v>12</v>
      </c>
      <c r="F7" s="9">
        <v>5</v>
      </c>
      <c r="G7" s="14" t="str" cm="1">
        <f t="array" ref="G7:I7">_xlfn.XLOOKUP(D7,Sheet3!$A$2:$A$11,Sheet3!$B$2:$D$11)</f>
        <v>Standing Desk</v>
      </c>
      <c r="H7" s="14" t="str">
        <v>Furniture</v>
      </c>
      <c r="I7" s="15" t="str">
        <v>ComfortZone</v>
      </c>
      <c r="J7" s="17">
        <f>_xlfn.XLOOKUP(D7,Sheet3!$A$2:$A$11,Sheet3!$E$2:$E$11)*Sheet2!F7</f>
        <v>140000</v>
      </c>
    </row>
    <row r="8" spans="1:12" ht="18" customHeight="1" x14ac:dyDescent="0.3">
      <c r="A8" s="2" t="s">
        <v>38</v>
      </c>
      <c r="B8" s="2" t="str">
        <f t="shared" si="0"/>
        <v>Feb</v>
      </c>
      <c r="C8" s="2" t="s">
        <v>39</v>
      </c>
      <c r="D8" s="2" t="s">
        <v>40</v>
      </c>
      <c r="E8" s="2" t="s">
        <v>12</v>
      </c>
      <c r="F8" s="8">
        <v>5</v>
      </c>
      <c r="G8" s="14" t="str" cm="1">
        <f t="array" ref="G8:I8">_xlfn.XLOOKUP(D8,Sheet3!$A$2:$A$11,Sheet3!$B$2:$D$11)</f>
        <v>Standing Desk</v>
      </c>
      <c r="H8" s="14" t="str">
        <v>Furniture</v>
      </c>
      <c r="I8" s="15" t="str">
        <v>ComfortZone</v>
      </c>
      <c r="J8" s="17">
        <f>_xlfn.XLOOKUP(D8,Sheet3!$A$2:$A$11,Sheet3!$E$2:$E$11)*Sheet2!F8</f>
        <v>140000</v>
      </c>
    </row>
    <row r="9" spans="1:12" ht="18" customHeight="1" x14ac:dyDescent="0.3">
      <c r="A9" s="3" t="s">
        <v>42</v>
      </c>
      <c r="B9" s="2" t="str">
        <f t="shared" si="0"/>
        <v>Feb</v>
      </c>
      <c r="C9" s="3" t="s">
        <v>43</v>
      </c>
      <c r="D9" s="3" t="s">
        <v>44</v>
      </c>
      <c r="E9" s="3" t="s">
        <v>18</v>
      </c>
      <c r="F9" s="9">
        <v>4</v>
      </c>
      <c r="G9" s="14" t="str" cm="1">
        <f t="array" ref="G9:I9">_xlfn.XLOOKUP(D9,Sheet3!$A$2:$A$11,Sheet3!$B$2:$D$11)</f>
        <v>Webcam HD</v>
      </c>
      <c r="H9" s="14" t="str">
        <v>Electronics</v>
      </c>
      <c r="I9" s="15" t="str">
        <v>TechBrand</v>
      </c>
      <c r="J9" s="17">
        <f>_xlfn.XLOOKUP(D9,Sheet3!$A$2:$A$11,Sheet3!$E$2:$E$11)*Sheet2!F9</f>
        <v>18000</v>
      </c>
    </row>
    <row r="10" spans="1:12" ht="18" customHeight="1" x14ac:dyDescent="0.3">
      <c r="A10" s="2" t="s">
        <v>46</v>
      </c>
      <c r="B10" s="2" t="str">
        <f t="shared" si="0"/>
        <v>Mar</v>
      </c>
      <c r="C10" s="2" t="s">
        <v>47</v>
      </c>
      <c r="D10" s="2" t="s">
        <v>48</v>
      </c>
      <c r="E10" s="2" t="s">
        <v>30</v>
      </c>
      <c r="F10" s="8">
        <v>3</v>
      </c>
      <c r="G10" s="14" t="str" cm="1">
        <f t="array" ref="G10:I10">_xlfn.XLOOKUP(D10,Sheet3!$A$2:$A$11,Sheet3!$B$2:$D$11)</f>
        <v>Monitor 27"</v>
      </c>
      <c r="H10" s="14" t="str">
        <v>Electronics</v>
      </c>
      <c r="I10" s="15" t="str">
        <v>TechBrand</v>
      </c>
      <c r="J10" s="17">
        <f>_xlfn.XLOOKUP(D10,Sheet3!$A$2:$A$11,Sheet3!$E$2:$E$11)*Sheet2!F10</f>
        <v>96000</v>
      </c>
      <c r="L10" s="12"/>
    </row>
    <row r="11" spans="1:12" ht="18" customHeight="1" x14ac:dyDescent="0.3">
      <c r="A11" s="3" t="s">
        <v>50</v>
      </c>
      <c r="B11" s="2" t="str">
        <f t="shared" si="0"/>
        <v>Mar</v>
      </c>
      <c r="C11" s="3" t="s">
        <v>51</v>
      </c>
      <c r="D11" s="3" t="s">
        <v>52</v>
      </c>
      <c r="E11" s="3" t="s">
        <v>36</v>
      </c>
      <c r="F11" s="9">
        <v>19</v>
      </c>
      <c r="G11" s="14" t="str" cm="1">
        <f t="array" ref="G11:I11">_xlfn.XLOOKUP(D11,Sheet3!$A$2:$A$11,Sheet3!$B$2:$D$11)</f>
        <v>Desk Lamp LED</v>
      </c>
      <c r="H11" s="14" t="str">
        <v>Furniture</v>
      </c>
      <c r="I11" s="15" t="str">
        <v>ComfortZone</v>
      </c>
      <c r="J11" s="17">
        <f>_xlfn.XLOOKUP(D11,Sheet3!$A$2:$A$11,Sheet3!$E$2:$E$11)*Sheet2!F11</f>
        <v>41800</v>
      </c>
    </row>
    <row r="12" spans="1:12" ht="18" customHeight="1" x14ac:dyDescent="0.3">
      <c r="A12" s="2" t="s">
        <v>54</v>
      </c>
      <c r="B12" s="2" t="str">
        <f t="shared" si="0"/>
        <v>Mar</v>
      </c>
      <c r="C12" s="2" t="s">
        <v>55</v>
      </c>
      <c r="D12" s="2" t="s">
        <v>11</v>
      </c>
      <c r="E12" s="2" t="s">
        <v>12</v>
      </c>
      <c r="F12" s="8">
        <v>14</v>
      </c>
      <c r="G12" s="14" t="str" cm="1">
        <f t="array" ref="G12:I12">_xlfn.XLOOKUP(D12,Sheet3!$A$2:$A$11,Sheet3!$B$2:$D$11)</f>
        <v>Laptop Pro</v>
      </c>
      <c r="H12" s="14" t="str">
        <v>Electronics</v>
      </c>
      <c r="I12" s="15" t="str">
        <v>TechBrand</v>
      </c>
      <c r="J12" s="17">
        <f>_xlfn.XLOOKUP(D12,Sheet3!$A$2:$A$11,Sheet3!$E$2:$E$11)*Sheet2!F12</f>
        <v>770000</v>
      </c>
    </row>
    <row r="13" spans="1:12" ht="18" customHeight="1" x14ac:dyDescent="0.3">
      <c r="A13" s="3" t="s">
        <v>56</v>
      </c>
      <c r="B13" s="2" t="str">
        <f t="shared" si="0"/>
        <v>Mar</v>
      </c>
      <c r="C13" s="3" t="s">
        <v>57</v>
      </c>
      <c r="D13" s="3" t="s">
        <v>17</v>
      </c>
      <c r="E13" s="3" t="s">
        <v>18</v>
      </c>
      <c r="F13" s="9">
        <v>2</v>
      </c>
      <c r="G13" s="14" t="str" cm="1">
        <f t="array" ref="G13:I13">_xlfn.XLOOKUP(D13,Sheet3!$A$2:$A$11,Sheet3!$B$2:$D$11)</f>
        <v>Wireless Mouse</v>
      </c>
      <c r="H13" s="14" t="str">
        <v>Accessories</v>
      </c>
      <c r="I13" s="15" t="str">
        <v>TechBrand</v>
      </c>
      <c r="J13" s="17">
        <f>_xlfn.XLOOKUP(D13,Sheet3!$A$2:$A$11,Sheet3!$E$2:$E$11)*Sheet2!F13</f>
        <v>2400</v>
      </c>
    </row>
    <row r="14" spans="1:12" ht="18" customHeight="1" x14ac:dyDescent="0.3">
      <c r="A14" s="2" t="s">
        <v>58</v>
      </c>
      <c r="B14" s="2" t="str">
        <f t="shared" si="0"/>
        <v>Mar</v>
      </c>
      <c r="C14" s="2" t="s">
        <v>59</v>
      </c>
      <c r="D14" s="2" t="s">
        <v>23</v>
      </c>
      <c r="E14" s="2" t="s">
        <v>24</v>
      </c>
      <c r="F14" s="8">
        <v>1</v>
      </c>
      <c r="G14" s="14" t="str" cm="1">
        <f t="array" ref="G14:I14">_xlfn.XLOOKUP(D14,Sheet3!$A$2:$A$11,Sheet3!$B$2:$D$11)</f>
        <v>Office Chair</v>
      </c>
      <c r="H14" s="14" t="str">
        <v>Furniture</v>
      </c>
      <c r="I14" s="15" t="str">
        <v>ComfortZone</v>
      </c>
      <c r="J14" s="17">
        <f>_xlfn.XLOOKUP(D14,Sheet3!$A$2:$A$11,Sheet3!$E$2:$E$11)*Sheet2!F14</f>
        <v>15000</v>
      </c>
    </row>
    <row r="15" spans="1:12" ht="18" customHeight="1" x14ac:dyDescent="0.3">
      <c r="A15" s="3" t="s">
        <v>60</v>
      </c>
      <c r="B15" s="2" t="str">
        <f t="shared" si="0"/>
        <v>Apr</v>
      </c>
      <c r="C15" s="3" t="s">
        <v>61</v>
      </c>
      <c r="D15" s="3" t="s">
        <v>29</v>
      </c>
      <c r="E15" s="3" t="s">
        <v>30</v>
      </c>
      <c r="F15" s="9">
        <v>3</v>
      </c>
      <c r="G15" s="14" t="str" cm="1">
        <f t="array" ref="G15:I15">_xlfn.XLOOKUP(D15,Sheet3!$A$2:$A$11,Sheet3!$B$2:$D$11)</f>
        <v>Notebook Set</v>
      </c>
      <c r="H15" s="14" t="str">
        <v>Stationery</v>
      </c>
      <c r="I15" s="15" t="str">
        <v>WriteRight</v>
      </c>
      <c r="J15" s="17">
        <f>_xlfn.XLOOKUP(D15,Sheet3!$A$2:$A$11,Sheet3!$E$2:$E$11)*Sheet2!F15</f>
        <v>1350</v>
      </c>
    </row>
    <row r="16" spans="1:12" ht="18" customHeight="1" x14ac:dyDescent="0.3">
      <c r="A16" s="2" t="s">
        <v>62</v>
      </c>
      <c r="B16" s="2" t="str">
        <f t="shared" si="0"/>
        <v>Apr</v>
      </c>
      <c r="C16" s="2" t="s">
        <v>63</v>
      </c>
      <c r="D16" s="2" t="s">
        <v>35</v>
      </c>
      <c r="E16" s="2" t="s">
        <v>36</v>
      </c>
      <c r="F16" s="8">
        <v>7</v>
      </c>
      <c r="G16" s="14" t="str" cm="1">
        <f t="array" ref="G16:I16">_xlfn.XLOOKUP(D16,Sheet3!$A$2:$A$11,Sheet3!$B$2:$D$11)</f>
        <v>USB-C Hub</v>
      </c>
      <c r="H16" s="14" t="str">
        <v>Accessories</v>
      </c>
      <c r="I16" s="15" t="str">
        <v>TechBrand</v>
      </c>
      <c r="J16" s="17">
        <f>_xlfn.XLOOKUP(D16,Sheet3!$A$2:$A$11,Sheet3!$E$2:$E$11)*Sheet2!F16</f>
        <v>24500</v>
      </c>
    </row>
    <row r="17" spans="1:10" ht="18" customHeight="1" x14ac:dyDescent="0.3">
      <c r="A17" s="3" t="s">
        <v>64</v>
      </c>
      <c r="B17" s="2" t="str">
        <f t="shared" si="0"/>
        <v>Apr</v>
      </c>
      <c r="C17" s="3" t="s">
        <v>65</v>
      </c>
      <c r="D17" s="3" t="s">
        <v>44</v>
      </c>
      <c r="E17" s="3" t="s">
        <v>18</v>
      </c>
      <c r="F17" s="9">
        <v>17</v>
      </c>
      <c r="G17" s="14" t="str" cm="1">
        <f t="array" ref="G17:I17">_xlfn.XLOOKUP(D17,Sheet3!$A$2:$A$11,Sheet3!$B$2:$D$11)</f>
        <v>Webcam HD</v>
      </c>
      <c r="H17" s="14" t="str">
        <v>Electronics</v>
      </c>
      <c r="I17" s="15" t="str">
        <v>TechBrand</v>
      </c>
      <c r="J17" s="17">
        <f>_xlfn.XLOOKUP(D17,Sheet3!$A$2:$A$11,Sheet3!$E$2:$E$11)*Sheet2!F17</f>
        <v>76500</v>
      </c>
    </row>
    <row r="18" spans="1:10" ht="18" customHeight="1" x14ac:dyDescent="0.3">
      <c r="A18" s="2" t="s">
        <v>66</v>
      </c>
      <c r="B18" s="2" t="str">
        <f t="shared" si="0"/>
        <v>May</v>
      </c>
      <c r="C18" s="2" t="s">
        <v>67</v>
      </c>
      <c r="D18" s="2" t="s">
        <v>68</v>
      </c>
      <c r="E18" s="2" t="s">
        <v>24</v>
      </c>
      <c r="F18" s="8">
        <v>20</v>
      </c>
      <c r="G18" s="14" t="str" cm="1">
        <f t="array" ref="G18:I18">_xlfn.XLOOKUP(D18,Sheet3!$A$2:$A$11,Sheet3!$B$2:$D$11)</f>
        <v>Pen Drive 128GB</v>
      </c>
      <c r="H18" s="14" t="str">
        <v>Accessories</v>
      </c>
      <c r="I18" s="15" t="str">
        <v>StorePro</v>
      </c>
      <c r="J18" s="17">
        <f>_xlfn.XLOOKUP(D18,Sheet3!$A$2:$A$11,Sheet3!$E$2:$E$11)*Sheet2!F18</f>
        <v>17000</v>
      </c>
    </row>
    <row r="19" spans="1:10" ht="18" customHeight="1" x14ac:dyDescent="0.3">
      <c r="A19" s="3" t="s">
        <v>70</v>
      </c>
      <c r="B19" s="2" t="str">
        <f t="shared" si="0"/>
        <v>May</v>
      </c>
      <c r="C19" s="3" t="s">
        <v>71</v>
      </c>
      <c r="D19" s="3" t="s">
        <v>48</v>
      </c>
      <c r="E19" s="3" t="s">
        <v>30</v>
      </c>
      <c r="F19" s="9">
        <v>1</v>
      </c>
      <c r="G19" s="14" t="str" cm="1">
        <f t="array" ref="G19:I19">_xlfn.XLOOKUP(D19,Sheet3!$A$2:$A$11,Sheet3!$B$2:$D$11)</f>
        <v>Monitor 27"</v>
      </c>
      <c r="H19" s="14" t="str">
        <v>Electronics</v>
      </c>
      <c r="I19" s="15" t="str">
        <v>TechBrand</v>
      </c>
      <c r="J19" s="17">
        <f>_xlfn.XLOOKUP(D19,Sheet3!$A$2:$A$11,Sheet3!$E$2:$E$11)*Sheet2!F19</f>
        <v>32000</v>
      </c>
    </row>
    <row r="20" spans="1:10" ht="18" customHeight="1" x14ac:dyDescent="0.3">
      <c r="A20" s="2" t="s">
        <v>72</v>
      </c>
      <c r="B20" s="2" t="str">
        <f t="shared" si="0"/>
        <v>May</v>
      </c>
      <c r="C20" s="2" t="s">
        <v>73</v>
      </c>
      <c r="D20" s="2" t="s">
        <v>52</v>
      </c>
      <c r="E20" s="2" t="s">
        <v>36</v>
      </c>
      <c r="F20" s="8">
        <v>18</v>
      </c>
      <c r="G20" s="14" t="str" cm="1">
        <f t="array" ref="G20:I20">_xlfn.XLOOKUP(D20,Sheet3!$A$2:$A$11,Sheet3!$B$2:$D$11)</f>
        <v>Desk Lamp LED</v>
      </c>
      <c r="H20" s="14" t="str">
        <v>Furniture</v>
      </c>
      <c r="I20" s="15" t="str">
        <v>ComfortZone</v>
      </c>
      <c r="J20" s="17">
        <f>_xlfn.XLOOKUP(D20,Sheet3!$A$2:$A$11,Sheet3!$E$2:$E$11)*Sheet2!F20</f>
        <v>39600</v>
      </c>
    </row>
    <row r="21" spans="1:10" ht="18" customHeight="1" x14ac:dyDescent="0.3">
      <c r="A21" s="3" t="s">
        <v>74</v>
      </c>
      <c r="B21" s="2" t="str">
        <f t="shared" si="0"/>
        <v>May</v>
      </c>
      <c r="C21" s="3" t="s">
        <v>75</v>
      </c>
      <c r="D21" s="3" t="s">
        <v>11</v>
      </c>
      <c r="E21" s="3" t="s">
        <v>12</v>
      </c>
      <c r="F21" s="9">
        <v>7</v>
      </c>
      <c r="G21" s="14" t="str" cm="1">
        <f t="array" ref="G21:I21">_xlfn.XLOOKUP(D21,Sheet3!$A$2:$A$11,Sheet3!$B$2:$D$11)</f>
        <v>Laptop Pro</v>
      </c>
      <c r="H21" s="14" t="str">
        <v>Electronics</v>
      </c>
      <c r="I21" s="15" t="str">
        <v>TechBrand</v>
      </c>
      <c r="J21" s="17">
        <f>_xlfn.XLOOKUP(D21,Sheet3!$A$2:$A$11,Sheet3!$E$2:$E$11)*Sheet2!F21</f>
        <v>385000</v>
      </c>
    </row>
    <row r="22" spans="1:10" ht="18" customHeight="1" x14ac:dyDescent="0.3">
      <c r="A22" s="2" t="s">
        <v>74</v>
      </c>
      <c r="B22" s="2" t="str">
        <f t="shared" si="0"/>
        <v>May</v>
      </c>
      <c r="C22" s="2" t="s">
        <v>75</v>
      </c>
      <c r="D22" s="2" t="s">
        <v>11</v>
      </c>
      <c r="E22" s="2" t="s">
        <v>12</v>
      </c>
      <c r="F22" s="8">
        <v>7</v>
      </c>
      <c r="G22" s="14" t="str" cm="1">
        <f t="array" ref="G22:I22">_xlfn.XLOOKUP(D22,Sheet3!$A$2:$A$11,Sheet3!$B$2:$D$11)</f>
        <v>Laptop Pro</v>
      </c>
      <c r="H22" s="14" t="str">
        <v>Electronics</v>
      </c>
      <c r="I22" s="15" t="str">
        <v>TechBrand</v>
      </c>
      <c r="J22" s="17">
        <f>_xlfn.XLOOKUP(D22,Sheet3!$A$2:$A$11,Sheet3!$E$2:$E$11)*Sheet2!F22</f>
        <v>385000</v>
      </c>
    </row>
    <row r="23" spans="1:10" ht="18" customHeight="1" x14ac:dyDescent="0.3">
      <c r="A23" s="3" t="s">
        <v>76</v>
      </c>
      <c r="B23" s="2" t="str">
        <f t="shared" si="0"/>
        <v>Jun</v>
      </c>
      <c r="C23" s="3" t="s">
        <v>77</v>
      </c>
      <c r="D23" s="3" t="s">
        <v>17</v>
      </c>
      <c r="E23" s="3" t="s">
        <v>18</v>
      </c>
      <c r="F23" s="9">
        <v>18</v>
      </c>
      <c r="G23" s="14" t="str" cm="1">
        <f t="array" ref="G23:I23">_xlfn.XLOOKUP(D23,Sheet3!$A$2:$A$11,Sheet3!$B$2:$D$11)</f>
        <v>Wireless Mouse</v>
      </c>
      <c r="H23" s="14" t="str">
        <v>Accessories</v>
      </c>
      <c r="I23" s="15" t="str">
        <v>TechBrand</v>
      </c>
      <c r="J23" s="17">
        <f>_xlfn.XLOOKUP(D23,Sheet3!$A$2:$A$11,Sheet3!$E$2:$E$11)*Sheet2!F23</f>
        <v>21600</v>
      </c>
    </row>
    <row r="24" spans="1:10" ht="18" customHeight="1" x14ac:dyDescent="0.3">
      <c r="A24" s="2" t="s">
        <v>78</v>
      </c>
      <c r="B24" s="2" t="str">
        <f t="shared" si="0"/>
        <v>Jun</v>
      </c>
      <c r="C24" s="2" t="s">
        <v>79</v>
      </c>
      <c r="D24" s="2" t="s">
        <v>23</v>
      </c>
      <c r="E24" s="2" t="s">
        <v>24</v>
      </c>
      <c r="F24" s="8">
        <v>14</v>
      </c>
      <c r="G24" s="14" t="str" cm="1">
        <f t="array" ref="G24:I24">_xlfn.XLOOKUP(D24,Sheet3!$A$2:$A$11,Sheet3!$B$2:$D$11)</f>
        <v>Office Chair</v>
      </c>
      <c r="H24" s="14" t="str">
        <v>Furniture</v>
      </c>
      <c r="I24" s="15" t="str">
        <v>ComfortZone</v>
      </c>
      <c r="J24" s="17">
        <f>_xlfn.XLOOKUP(D24,Sheet3!$A$2:$A$11,Sheet3!$E$2:$E$11)*Sheet2!F24</f>
        <v>210000</v>
      </c>
    </row>
    <row r="25" spans="1:10" ht="18" customHeight="1" x14ac:dyDescent="0.3">
      <c r="A25" s="3" t="s">
        <v>80</v>
      </c>
      <c r="B25" s="2" t="str">
        <f t="shared" si="0"/>
        <v>Jun</v>
      </c>
      <c r="C25" s="3" t="s">
        <v>81</v>
      </c>
      <c r="D25" s="3" t="s">
        <v>35</v>
      </c>
      <c r="E25" s="3" t="s">
        <v>36</v>
      </c>
      <c r="F25" s="9">
        <v>15</v>
      </c>
      <c r="G25" s="14" t="str" cm="1">
        <f t="array" ref="G25:I25">_xlfn.XLOOKUP(D25,Sheet3!$A$2:$A$11,Sheet3!$B$2:$D$11)</f>
        <v>USB-C Hub</v>
      </c>
      <c r="H25" s="14" t="str">
        <v>Accessories</v>
      </c>
      <c r="I25" s="15" t="str">
        <v>TechBrand</v>
      </c>
      <c r="J25" s="17">
        <f>_xlfn.XLOOKUP(D25,Sheet3!$A$2:$A$11,Sheet3!$E$2:$E$11)*Sheet2!F25</f>
        <v>52500</v>
      </c>
    </row>
    <row r="26" spans="1:10" ht="18" customHeight="1" x14ac:dyDescent="0.3">
      <c r="A26" s="2" t="s">
        <v>82</v>
      </c>
      <c r="B26" s="2" t="str">
        <f t="shared" si="0"/>
        <v>Jul</v>
      </c>
      <c r="C26" s="2" t="s">
        <v>83</v>
      </c>
      <c r="D26" s="2" t="s">
        <v>40</v>
      </c>
      <c r="E26" s="2" t="s">
        <v>12</v>
      </c>
      <c r="F26" s="8">
        <v>19</v>
      </c>
      <c r="G26" s="14" t="str" cm="1">
        <f t="array" ref="G26:I26">_xlfn.XLOOKUP(D26,Sheet3!$A$2:$A$11,Sheet3!$B$2:$D$11)</f>
        <v>Standing Desk</v>
      </c>
      <c r="H26" s="14" t="str">
        <v>Furniture</v>
      </c>
      <c r="I26" s="15" t="str">
        <v>ComfortZone</v>
      </c>
      <c r="J26" s="17">
        <f>_xlfn.XLOOKUP(D26,Sheet3!$A$2:$A$11,Sheet3!$E$2:$E$11)*Sheet2!F26</f>
        <v>532000</v>
      </c>
    </row>
    <row r="27" spans="1:10" ht="18" customHeight="1" x14ac:dyDescent="0.3">
      <c r="A27" s="3" t="s">
        <v>84</v>
      </c>
      <c r="B27" s="2" t="str">
        <f t="shared" si="0"/>
        <v>Jul</v>
      </c>
      <c r="C27" s="3" t="s">
        <v>85</v>
      </c>
      <c r="D27" s="3" t="s">
        <v>44</v>
      </c>
      <c r="E27" s="3" t="s">
        <v>18</v>
      </c>
      <c r="F27" s="9">
        <v>9</v>
      </c>
      <c r="G27" s="14" t="str" cm="1">
        <f t="array" ref="G27:I27">_xlfn.XLOOKUP(D27,Sheet3!$A$2:$A$11,Sheet3!$B$2:$D$11)</f>
        <v>Webcam HD</v>
      </c>
      <c r="H27" s="14" t="str">
        <v>Electronics</v>
      </c>
      <c r="I27" s="15" t="str">
        <v>TechBrand</v>
      </c>
      <c r="J27" s="17">
        <f>_xlfn.XLOOKUP(D27,Sheet3!$A$2:$A$11,Sheet3!$E$2:$E$11)*Sheet2!F27</f>
        <v>40500</v>
      </c>
    </row>
    <row r="28" spans="1:10" ht="18" customHeight="1" x14ac:dyDescent="0.3">
      <c r="A28" s="2" t="s">
        <v>86</v>
      </c>
      <c r="B28" s="2" t="str">
        <f t="shared" si="0"/>
        <v>Jul</v>
      </c>
      <c r="C28" s="2" t="s">
        <v>87</v>
      </c>
      <c r="D28" s="2" t="s">
        <v>68</v>
      </c>
      <c r="E28" s="2" t="s">
        <v>24</v>
      </c>
      <c r="F28" s="8">
        <v>1</v>
      </c>
      <c r="G28" s="14" t="str" cm="1">
        <f t="array" ref="G28:I28">_xlfn.XLOOKUP(D28,Sheet3!$A$2:$A$11,Sheet3!$B$2:$D$11)</f>
        <v>Pen Drive 128GB</v>
      </c>
      <c r="H28" s="14" t="str">
        <v>Accessories</v>
      </c>
      <c r="I28" s="15" t="str">
        <v>StorePro</v>
      </c>
      <c r="J28" s="17">
        <f>_xlfn.XLOOKUP(D28,Sheet3!$A$2:$A$11,Sheet3!$E$2:$E$11)*Sheet2!F28</f>
        <v>850</v>
      </c>
    </row>
    <row r="29" spans="1:10" ht="18" customHeight="1" x14ac:dyDescent="0.3">
      <c r="A29" s="3" t="s">
        <v>88</v>
      </c>
      <c r="B29" s="2" t="str">
        <f t="shared" si="0"/>
        <v>Jul</v>
      </c>
      <c r="C29" s="3" t="s">
        <v>89</v>
      </c>
      <c r="D29" s="3" t="s">
        <v>48</v>
      </c>
      <c r="E29" s="3" t="s">
        <v>30</v>
      </c>
      <c r="F29" s="9">
        <v>6</v>
      </c>
      <c r="G29" s="14" t="str" cm="1">
        <f t="array" ref="G29:I29">_xlfn.XLOOKUP(D29,Sheet3!$A$2:$A$11,Sheet3!$B$2:$D$11)</f>
        <v>Monitor 27"</v>
      </c>
      <c r="H29" s="14" t="str">
        <v>Electronics</v>
      </c>
      <c r="I29" s="15" t="str">
        <v>TechBrand</v>
      </c>
      <c r="J29" s="17">
        <f>_xlfn.XLOOKUP(D29,Sheet3!$A$2:$A$11,Sheet3!$E$2:$E$11)*Sheet2!F29</f>
        <v>192000</v>
      </c>
    </row>
    <row r="30" spans="1:10" ht="18" customHeight="1" x14ac:dyDescent="0.3">
      <c r="A30" s="2" t="s">
        <v>90</v>
      </c>
      <c r="B30" s="2" t="str">
        <f t="shared" si="0"/>
        <v>Aug</v>
      </c>
      <c r="C30" s="2" t="s">
        <v>91</v>
      </c>
      <c r="D30" s="2" t="s">
        <v>52</v>
      </c>
      <c r="E30" s="2" t="s">
        <v>36</v>
      </c>
      <c r="F30" s="8">
        <v>14</v>
      </c>
      <c r="G30" s="14" t="str" cm="1">
        <f t="array" ref="G30:I30">_xlfn.XLOOKUP(D30,Sheet3!$A$2:$A$11,Sheet3!$B$2:$D$11)</f>
        <v>Desk Lamp LED</v>
      </c>
      <c r="H30" s="14" t="str">
        <v>Furniture</v>
      </c>
      <c r="I30" s="15" t="str">
        <v>ComfortZone</v>
      </c>
      <c r="J30" s="17">
        <f>_xlfn.XLOOKUP(D30,Sheet3!$A$2:$A$11,Sheet3!$E$2:$E$11)*Sheet2!F30</f>
        <v>30800</v>
      </c>
    </row>
    <row r="31" spans="1:10" ht="18" customHeight="1" x14ac:dyDescent="0.3">
      <c r="A31" s="3" t="s">
        <v>92</v>
      </c>
      <c r="B31" s="2" t="str">
        <f t="shared" si="0"/>
        <v>Aug</v>
      </c>
      <c r="C31" s="3" t="s">
        <v>93</v>
      </c>
      <c r="D31" s="3" t="s">
        <v>11</v>
      </c>
      <c r="E31" s="3" t="s">
        <v>12</v>
      </c>
      <c r="F31" s="9">
        <v>11</v>
      </c>
      <c r="G31" s="14" t="str" cm="1">
        <f t="array" ref="G31:I31">_xlfn.XLOOKUP(D31,Sheet3!$A$2:$A$11,Sheet3!$B$2:$D$11)</f>
        <v>Laptop Pro</v>
      </c>
      <c r="H31" s="14" t="str">
        <v>Electronics</v>
      </c>
      <c r="I31" s="15" t="str">
        <v>TechBrand</v>
      </c>
      <c r="J31" s="17">
        <f>_xlfn.XLOOKUP(D31,Sheet3!$A$2:$A$11,Sheet3!$E$2:$E$11)*Sheet2!F31</f>
        <v>605000</v>
      </c>
    </row>
    <row r="32" spans="1:10" ht="18" customHeight="1" x14ac:dyDescent="0.3">
      <c r="A32" s="2" t="s">
        <v>94</v>
      </c>
      <c r="B32" s="2" t="str">
        <f t="shared" si="0"/>
        <v>Aug</v>
      </c>
      <c r="C32" s="2" t="s">
        <v>95</v>
      </c>
      <c r="D32" s="2" t="s">
        <v>17</v>
      </c>
      <c r="E32" s="2" t="s">
        <v>18</v>
      </c>
      <c r="F32" s="8">
        <v>9</v>
      </c>
      <c r="G32" s="14" t="str" cm="1">
        <f t="array" ref="G32:I32">_xlfn.XLOOKUP(D32,Sheet3!$A$2:$A$11,Sheet3!$B$2:$D$11)</f>
        <v>Wireless Mouse</v>
      </c>
      <c r="H32" s="14" t="str">
        <v>Accessories</v>
      </c>
      <c r="I32" s="15" t="str">
        <v>TechBrand</v>
      </c>
      <c r="J32" s="17">
        <f>_xlfn.XLOOKUP(D32,Sheet3!$A$2:$A$11,Sheet3!$E$2:$E$11)*Sheet2!F32</f>
        <v>10800</v>
      </c>
    </row>
    <row r="33" spans="1:10" ht="18" customHeight="1" x14ac:dyDescent="0.3">
      <c r="A33" s="3" t="s">
        <v>96</v>
      </c>
      <c r="B33" s="2" t="str">
        <f t="shared" si="0"/>
        <v>Aug</v>
      </c>
      <c r="C33" s="3" t="s">
        <v>97</v>
      </c>
      <c r="D33" s="3" t="s">
        <v>23</v>
      </c>
      <c r="E33" s="3" t="s">
        <v>24</v>
      </c>
      <c r="F33" s="9">
        <v>5</v>
      </c>
      <c r="G33" s="14" t="str" cm="1">
        <f t="array" ref="G33:I33">_xlfn.XLOOKUP(D33,Sheet3!$A$2:$A$11,Sheet3!$B$2:$D$11)</f>
        <v>Office Chair</v>
      </c>
      <c r="H33" s="14" t="str">
        <v>Furniture</v>
      </c>
      <c r="I33" s="15" t="str">
        <v>ComfortZone</v>
      </c>
      <c r="J33" s="17">
        <f>_xlfn.XLOOKUP(D33,Sheet3!$A$2:$A$11,Sheet3!$E$2:$E$11)*Sheet2!F33</f>
        <v>75000</v>
      </c>
    </row>
    <row r="34" spans="1:10" ht="18" customHeight="1" x14ac:dyDescent="0.3">
      <c r="A34" s="2" t="s">
        <v>98</v>
      </c>
      <c r="B34" s="2" t="str">
        <f t="shared" si="0"/>
        <v>Sep</v>
      </c>
      <c r="C34" s="2" t="s">
        <v>99</v>
      </c>
      <c r="D34" s="2" t="s">
        <v>35</v>
      </c>
      <c r="E34" s="2" t="s">
        <v>36</v>
      </c>
      <c r="F34" s="8">
        <v>11</v>
      </c>
      <c r="G34" s="14" t="str" cm="1">
        <f t="array" ref="G34:I34">_xlfn.XLOOKUP(D34,Sheet3!$A$2:$A$11,Sheet3!$B$2:$D$11)</f>
        <v>USB-C Hub</v>
      </c>
      <c r="H34" s="14" t="str">
        <v>Accessories</v>
      </c>
      <c r="I34" s="15" t="str">
        <v>TechBrand</v>
      </c>
      <c r="J34" s="17">
        <f>_xlfn.XLOOKUP(D34,Sheet3!$A$2:$A$11,Sheet3!$E$2:$E$11)*Sheet2!F34</f>
        <v>38500</v>
      </c>
    </row>
    <row r="35" spans="1:10" ht="18" customHeight="1" x14ac:dyDescent="0.3">
      <c r="A35" s="3" t="s">
        <v>100</v>
      </c>
      <c r="B35" s="2" t="str">
        <f t="shared" si="0"/>
        <v>Sep</v>
      </c>
      <c r="C35" s="3" t="s">
        <v>101</v>
      </c>
      <c r="D35" s="3" t="s">
        <v>40</v>
      </c>
      <c r="E35" s="3" t="s">
        <v>12</v>
      </c>
      <c r="F35" s="9">
        <v>4</v>
      </c>
      <c r="G35" s="14" t="str" cm="1">
        <f t="array" ref="G35:I35">_xlfn.XLOOKUP(D35,Sheet3!$A$2:$A$11,Sheet3!$B$2:$D$11)</f>
        <v>Standing Desk</v>
      </c>
      <c r="H35" s="14" t="str">
        <v>Furniture</v>
      </c>
      <c r="I35" s="15" t="str">
        <v>ComfortZone</v>
      </c>
      <c r="J35" s="17">
        <f>_xlfn.XLOOKUP(D35,Sheet3!$A$2:$A$11,Sheet3!$E$2:$E$11)*Sheet2!F35</f>
        <v>112000</v>
      </c>
    </row>
    <row r="36" spans="1:10" ht="18" customHeight="1" x14ac:dyDescent="0.3">
      <c r="A36" s="2" t="s">
        <v>100</v>
      </c>
      <c r="B36" s="2" t="str">
        <f t="shared" si="0"/>
        <v>Sep</v>
      </c>
      <c r="C36" s="2" t="s">
        <v>101</v>
      </c>
      <c r="D36" s="2" t="s">
        <v>40</v>
      </c>
      <c r="E36" s="2" t="s">
        <v>12</v>
      </c>
      <c r="F36" s="8">
        <v>4</v>
      </c>
      <c r="G36" s="14" t="str" cm="1">
        <f t="array" ref="G36:I36">_xlfn.XLOOKUP(D36,Sheet3!$A$2:$A$11,Sheet3!$B$2:$D$11)</f>
        <v>Standing Desk</v>
      </c>
      <c r="H36" s="14" t="str">
        <v>Furniture</v>
      </c>
      <c r="I36" s="15" t="str">
        <v>ComfortZone</v>
      </c>
      <c r="J36" s="17">
        <f>_xlfn.XLOOKUP(D36,Sheet3!$A$2:$A$11,Sheet3!$E$2:$E$11)*Sheet2!F36</f>
        <v>112000</v>
      </c>
    </row>
    <row r="37" spans="1:10" ht="18" customHeight="1" x14ac:dyDescent="0.3">
      <c r="A37" s="3" t="s">
        <v>102</v>
      </c>
      <c r="B37" s="2" t="str">
        <f t="shared" si="0"/>
        <v>Sep</v>
      </c>
      <c r="C37" s="3" t="s">
        <v>103</v>
      </c>
      <c r="D37" s="3" t="s">
        <v>44</v>
      </c>
      <c r="E37" s="3" t="s">
        <v>18</v>
      </c>
      <c r="F37" s="9">
        <v>3</v>
      </c>
      <c r="G37" s="14" t="str" cm="1">
        <f t="array" ref="G37:I37">_xlfn.XLOOKUP(D37,Sheet3!$A$2:$A$11,Sheet3!$B$2:$D$11)</f>
        <v>Webcam HD</v>
      </c>
      <c r="H37" s="14" t="str">
        <v>Electronics</v>
      </c>
      <c r="I37" s="15" t="str">
        <v>TechBrand</v>
      </c>
      <c r="J37" s="17">
        <f>_xlfn.XLOOKUP(D37,Sheet3!$A$2:$A$11,Sheet3!$E$2:$E$11)*Sheet2!F37</f>
        <v>13500</v>
      </c>
    </row>
    <row r="38" spans="1:10" ht="18" customHeight="1" x14ac:dyDescent="0.3">
      <c r="A38" s="2" t="s">
        <v>104</v>
      </c>
      <c r="B38" s="2" t="str">
        <f t="shared" si="0"/>
        <v>Oct</v>
      </c>
      <c r="C38" s="2" t="s">
        <v>105</v>
      </c>
      <c r="D38" s="2" t="s">
        <v>68</v>
      </c>
      <c r="E38" s="2" t="s">
        <v>24</v>
      </c>
      <c r="F38" s="8">
        <v>13</v>
      </c>
      <c r="G38" s="14" t="str" cm="1">
        <f t="array" ref="G38:I38">_xlfn.XLOOKUP(D38,Sheet3!$A$2:$A$11,Sheet3!$B$2:$D$11)</f>
        <v>Pen Drive 128GB</v>
      </c>
      <c r="H38" s="14" t="str">
        <v>Accessories</v>
      </c>
      <c r="I38" s="15" t="str">
        <v>StorePro</v>
      </c>
      <c r="J38" s="17">
        <f>_xlfn.XLOOKUP(D38,Sheet3!$A$2:$A$11,Sheet3!$E$2:$E$11)*Sheet2!F38</f>
        <v>11050</v>
      </c>
    </row>
    <row r="39" spans="1:10" ht="18" customHeight="1" x14ac:dyDescent="0.3">
      <c r="A39" s="3" t="s">
        <v>106</v>
      </c>
      <c r="B39" s="2" t="str">
        <f t="shared" si="0"/>
        <v>Oct</v>
      </c>
      <c r="C39" s="3" t="s">
        <v>107</v>
      </c>
      <c r="D39" s="3" t="s">
        <v>48</v>
      </c>
      <c r="E39" s="3" t="s">
        <v>30</v>
      </c>
      <c r="F39" s="9">
        <v>4</v>
      </c>
      <c r="G39" s="14" t="str" cm="1">
        <f t="array" ref="G39:I39">_xlfn.XLOOKUP(D39,Sheet3!$A$2:$A$11,Sheet3!$B$2:$D$11)</f>
        <v>Monitor 27"</v>
      </c>
      <c r="H39" s="14" t="str">
        <v>Electronics</v>
      </c>
      <c r="I39" s="15" t="str">
        <v>TechBrand</v>
      </c>
      <c r="J39" s="17">
        <f>_xlfn.XLOOKUP(D39,Sheet3!$A$2:$A$11,Sheet3!$E$2:$E$11)*Sheet2!F39</f>
        <v>128000</v>
      </c>
    </row>
    <row r="40" spans="1:10" ht="18" customHeight="1" x14ac:dyDescent="0.3">
      <c r="A40" s="2" t="s">
        <v>108</v>
      </c>
      <c r="B40" s="2" t="str">
        <f t="shared" si="0"/>
        <v>Oct</v>
      </c>
      <c r="C40" s="2" t="s">
        <v>109</v>
      </c>
      <c r="D40" s="2" t="s">
        <v>52</v>
      </c>
      <c r="E40" s="2" t="s">
        <v>36</v>
      </c>
      <c r="F40" s="8">
        <v>12</v>
      </c>
      <c r="G40" s="14" t="str" cm="1">
        <f t="array" ref="G40:I40">_xlfn.XLOOKUP(D40,Sheet3!$A$2:$A$11,Sheet3!$B$2:$D$11)</f>
        <v>Desk Lamp LED</v>
      </c>
      <c r="H40" s="14" t="str">
        <v>Furniture</v>
      </c>
      <c r="I40" s="15" t="str">
        <v>ComfortZone</v>
      </c>
      <c r="J40" s="17">
        <f>_xlfn.XLOOKUP(D40,Sheet3!$A$2:$A$11,Sheet3!$E$2:$E$11)*Sheet2!F40</f>
        <v>26400</v>
      </c>
    </row>
    <row r="41" spans="1:10" ht="18" customHeight="1" x14ac:dyDescent="0.3">
      <c r="A41" s="3" t="s">
        <v>110</v>
      </c>
      <c r="B41" s="2" t="str">
        <f t="shared" si="0"/>
        <v>Nov</v>
      </c>
      <c r="C41" s="3" t="s">
        <v>111</v>
      </c>
      <c r="D41" s="3" t="s">
        <v>11</v>
      </c>
      <c r="E41" s="3" t="s">
        <v>12</v>
      </c>
      <c r="F41" s="9">
        <v>12</v>
      </c>
      <c r="G41" s="14" t="str" cm="1">
        <f t="array" ref="G41:I41">_xlfn.XLOOKUP(D41,Sheet3!$A$2:$A$11,Sheet3!$B$2:$D$11)</f>
        <v>Laptop Pro</v>
      </c>
      <c r="H41" s="14" t="str">
        <v>Electronics</v>
      </c>
      <c r="I41" s="15" t="str">
        <v>TechBrand</v>
      </c>
      <c r="J41" s="17">
        <f>_xlfn.XLOOKUP(D41,Sheet3!$A$2:$A$11,Sheet3!$E$2:$E$11)*Sheet2!F41</f>
        <v>660000</v>
      </c>
    </row>
    <row r="42" spans="1:10" ht="15.75" customHeight="1" x14ac:dyDescent="0.3">
      <c r="G42" s="11"/>
      <c r="H42" s="11"/>
      <c r="I42" s="11"/>
      <c r="J42" s="20"/>
    </row>
    <row r="43" spans="1:10" ht="15.75" customHeight="1" x14ac:dyDescent="0.3">
      <c r="G43" s="11"/>
      <c r="H43" s="11"/>
      <c r="I43" s="11"/>
      <c r="J43" s="20"/>
    </row>
    <row r="44" spans="1:10" ht="15.75" customHeight="1" x14ac:dyDescent="0.3">
      <c r="G44" s="11"/>
      <c r="H44" s="11"/>
      <c r="I44" s="11"/>
      <c r="J44" s="20"/>
    </row>
    <row r="45" spans="1:10" ht="15.75" customHeight="1" x14ac:dyDescent="0.3">
      <c r="G45" s="11"/>
      <c r="H45" s="11"/>
      <c r="I45" s="11"/>
      <c r="J45" s="20"/>
    </row>
    <row r="46" spans="1:10" ht="15.75" customHeight="1" x14ac:dyDescent="0.3">
      <c r="G46" s="11"/>
      <c r="H46" s="11"/>
      <c r="I46" s="11"/>
      <c r="J46" s="20"/>
    </row>
    <row r="47" spans="1:10" ht="15.75" customHeight="1" x14ac:dyDescent="0.3">
      <c r="G47" s="11"/>
      <c r="H47" s="11"/>
      <c r="I47" s="11"/>
      <c r="J47" s="20"/>
    </row>
    <row r="48" spans="1:10" ht="15.75" customHeight="1" x14ac:dyDescent="0.3">
      <c r="G48" s="11"/>
      <c r="H48" s="11"/>
      <c r="I48" s="11"/>
      <c r="J48" s="20"/>
    </row>
    <row r="49" spans="7:10" ht="15.75" customHeight="1" x14ac:dyDescent="0.3">
      <c r="G49" s="11"/>
      <c r="H49" s="11"/>
      <c r="I49" s="11"/>
      <c r="J49" s="20"/>
    </row>
    <row r="50" spans="7:10" ht="15.75" customHeight="1" x14ac:dyDescent="0.3">
      <c r="G50" s="11"/>
      <c r="H50" s="11"/>
      <c r="I50" s="11"/>
      <c r="J50" s="20"/>
    </row>
    <row r="51" spans="7:10" ht="15.75" customHeight="1" x14ac:dyDescent="0.3">
      <c r="G51" s="11"/>
      <c r="H51" s="11"/>
      <c r="I51" s="11"/>
      <c r="J51" s="20"/>
    </row>
    <row r="52" spans="7:10" ht="15.75" customHeight="1" x14ac:dyDescent="0.3">
      <c r="G52" s="11"/>
      <c r="H52" s="11"/>
      <c r="I52" s="11"/>
      <c r="J52" s="20"/>
    </row>
    <row r="53" spans="7:10" ht="15.75" customHeight="1" x14ac:dyDescent="0.3">
      <c r="G53" s="11"/>
      <c r="H53" s="11"/>
      <c r="I53" s="11"/>
      <c r="J53" s="20"/>
    </row>
    <row r="54" spans="7:10" ht="15.75" customHeight="1" x14ac:dyDescent="0.3">
      <c r="G54" s="11"/>
      <c r="H54" s="11"/>
      <c r="I54" s="11"/>
      <c r="J54" s="20"/>
    </row>
    <row r="55" spans="7:10" ht="15.75" customHeight="1" x14ac:dyDescent="0.3">
      <c r="G55" s="11"/>
      <c r="H55" s="11"/>
      <c r="I55" s="11"/>
      <c r="J55" s="20"/>
    </row>
    <row r="56" spans="7:10" ht="15.75" customHeight="1" x14ac:dyDescent="0.3">
      <c r="G56" s="11"/>
      <c r="H56" s="11"/>
      <c r="I56" s="11"/>
      <c r="J56" s="20"/>
    </row>
    <row r="57" spans="7:10" ht="15.75" customHeight="1" x14ac:dyDescent="0.3">
      <c r="G57" s="11"/>
      <c r="H57" s="11"/>
      <c r="I57" s="11"/>
      <c r="J57" s="20"/>
    </row>
    <row r="58" spans="7:10" ht="15.75" customHeight="1" x14ac:dyDescent="0.3">
      <c r="G58" s="11"/>
      <c r="H58" s="11"/>
      <c r="I58" s="11"/>
      <c r="J58" s="20"/>
    </row>
    <row r="59" spans="7:10" ht="15.75" customHeight="1" x14ac:dyDescent="0.3">
      <c r="G59" s="11"/>
      <c r="H59" s="11"/>
      <c r="I59" s="11"/>
      <c r="J59" s="20"/>
    </row>
    <row r="60" spans="7:10" ht="15.75" customHeight="1" x14ac:dyDescent="0.3">
      <c r="G60" s="11"/>
      <c r="H60" s="11"/>
      <c r="I60" s="11"/>
      <c r="J60" s="20"/>
    </row>
    <row r="61" spans="7:10" ht="15.75" customHeight="1" x14ac:dyDescent="0.3">
      <c r="G61" s="11"/>
      <c r="H61" s="11"/>
      <c r="I61" s="11"/>
      <c r="J61" s="20"/>
    </row>
    <row r="62" spans="7:10" ht="15.75" customHeight="1" x14ac:dyDescent="0.3">
      <c r="G62" s="11"/>
      <c r="H62" s="11"/>
      <c r="I62" s="11"/>
      <c r="J62" s="20"/>
    </row>
    <row r="63" spans="7:10" ht="15.75" customHeight="1" x14ac:dyDescent="0.3">
      <c r="G63" s="11"/>
      <c r="H63" s="11"/>
      <c r="I63" s="11"/>
      <c r="J63" s="20"/>
    </row>
    <row r="64" spans="7:10" ht="15.75" customHeight="1" x14ac:dyDescent="0.3">
      <c r="G64" s="11"/>
      <c r="H64" s="11"/>
      <c r="I64" s="11"/>
      <c r="J64" s="20"/>
    </row>
    <row r="65" spans="7:10" ht="15.75" customHeight="1" x14ac:dyDescent="0.3">
      <c r="G65" s="11"/>
      <c r="H65" s="11"/>
      <c r="I65" s="11"/>
      <c r="J65" s="20"/>
    </row>
    <row r="66" spans="7:10" ht="15.75" customHeight="1" x14ac:dyDescent="0.3">
      <c r="G66" s="11"/>
      <c r="H66" s="11"/>
      <c r="I66" s="11"/>
      <c r="J66" s="20"/>
    </row>
    <row r="67" spans="7:10" ht="15.75" customHeight="1" x14ac:dyDescent="0.3">
      <c r="G67" s="11"/>
      <c r="H67" s="11"/>
      <c r="I67" s="11"/>
      <c r="J67" s="20"/>
    </row>
    <row r="68" spans="7:10" ht="15.75" customHeight="1" x14ac:dyDescent="0.3">
      <c r="G68" s="11"/>
      <c r="H68" s="11"/>
      <c r="I68" s="11"/>
      <c r="J68" s="20"/>
    </row>
    <row r="69" spans="7:10" ht="15.75" customHeight="1" x14ac:dyDescent="0.3">
      <c r="G69" s="11"/>
      <c r="H69" s="11"/>
      <c r="I69" s="11"/>
      <c r="J69" s="20"/>
    </row>
    <row r="70" spans="7:10" ht="15.75" customHeight="1" x14ac:dyDescent="0.3">
      <c r="G70" s="11"/>
      <c r="H70" s="11"/>
      <c r="I70" s="11"/>
      <c r="J70" s="20"/>
    </row>
    <row r="71" spans="7:10" ht="15.75" customHeight="1" x14ac:dyDescent="0.3">
      <c r="G71" s="11"/>
      <c r="H71" s="11"/>
      <c r="I71" s="11"/>
      <c r="J71" s="20"/>
    </row>
    <row r="72" spans="7:10" ht="15.75" customHeight="1" x14ac:dyDescent="0.3">
      <c r="G72" s="11"/>
      <c r="H72" s="11"/>
      <c r="I72" s="11"/>
      <c r="J72" s="20"/>
    </row>
    <row r="73" spans="7:10" ht="15.75" customHeight="1" x14ac:dyDescent="0.3">
      <c r="G73" s="11"/>
      <c r="H73" s="11"/>
      <c r="I73" s="11"/>
      <c r="J73" s="20"/>
    </row>
    <row r="74" spans="7:10" ht="15.75" customHeight="1" x14ac:dyDescent="0.3">
      <c r="G74" s="11"/>
      <c r="H74" s="11"/>
      <c r="I74" s="11"/>
      <c r="J74" s="20"/>
    </row>
    <row r="75" spans="7:10" ht="15.75" customHeight="1" x14ac:dyDescent="0.3">
      <c r="G75" s="11"/>
      <c r="H75" s="11"/>
      <c r="I75" s="11"/>
      <c r="J75" s="20"/>
    </row>
    <row r="76" spans="7:10" ht="15.75" customHeight="1" x14ac:dyDescent="0.3">
      <c r="G76" s="11"/>
      <c r="H76" s="11"/>
      <c r="I76" s="11"/>
      <c r="J76" s="20"/>
    </row>
    <row r="77" spans="7:10" ht="15.75" customHeight="1" x14ac:dyDescent="0.3">
      <c r="G77" s="11"/>
      <c r="H77" s="11"/>
      <c r="I77" s="11"/>
      <c r="J77" s="20"/>
    </row>
    <row r="78" spans="7:10" ht="15.75" customHeight="1" x14ac:dyDescent="0.3">
      <c r="G78" s="11"/>
      <c r="H78" s="11"/>
      <c r="I78" s="11"/>
      <c r="J78" s="20"/>
    </row>
    <row r="79" spans="7:10" ht="15.75" customHeight="1" x14ac:dyDescent="0.3">
      <c r="G79" s="11"/>
      <c r="H79" s="11"/>
      <c r="I79" s="11"/>
      <c r="J79" s="20"/>
    </row>
    <row r="80" spans="7:10" ht="15.75" customHeight="1" x14ac:dyDescent="0.3">
      <c r="G80" s="11"/>
      <c r="H80" s="11"/>
      <c r="I80" s="11"/>
      <c r="J80" s="20"/>
    </row>
    <row r="81" spans="7:10" ht="15.75" customHeight="1" x14ac:dyDescent="0.3">
      <c r="G81" s="11"/>
      <c r="H81" s="11"/>
      <c r="I81" s="11"/>
      <c r="J81" s="20"/>
    </row>
    <row r="82" spans="7:10" ht="15.75" customHeight="1" x14ac:dyDescent="0.3">
      <c r="G82" s="11"/>
      <c r="H82" s="11"/>
      <c r="I82" s="11"/>
      <c r="J82" s="20"/>
    </row>
    <row r="83" spans="7:10" ht="15.75" customHeight="1" x14ac:dyDescent="0.3">
      <c r="G83" s="11"/>
      <c r="H83" s="11"/>
      <c r="I83" s="11"/>
      <c r="J83" s="20"/>
    </row>
    <row r="84" spans="7:10" ht="15.75" customHeight="1" x14ac:dyDescent="0.3">
      <c r="G84" s="11"/>
      <c r="H84" s="11"/>
      <c r="I84" s="11"/>
      <c r="J84" s="20"/>
    </row>
    <row r="85" spans="7:10" ht="15.75" customHeight="1" x14ac:dyDescent="0.3">
      <c r="G85" s="11"/>
      <c r="H85" s="11"/>
      <c r="I85" s="11"/>
      <c r="J85" s="20"/>
    </row>
    <row r="86" spans="7:10" ht="15.75" customHeight="1" x14ac:dyDescent="0.3">
      <c r="G86" s="11"/>
      <c r="H86" s="11"/>
      <c r="I86" s="11"/>
      <c r="J86" s="20"/>
    </row>
    <row r="87" spans="7:10" ht="15.75" customHeight="1" x14ac:dyDescent="0.3">
      <c r="G87" s="11"/>
      <c r="H87" s="11"/>
      <c r="I87" s="11"/>
      <c r="J87" s="20"/>
    </row>
    <row r="88" spans="7:10" ht="15.75" customHeight="1" x14ac:dyDescent="0.3">
      <c r="G88" s="11"/>
      <c r="H88" s="11"/>
      <c r="I88" s="11"/>
      <c r="J88" s="20"/>
    </row>
    <row r="89" spans="7:10" ht="15.75" customHeight="1" x14ac:dyDescent="0.3">
      <c r="G89" s="11"/>
      <c r="H89" s="11"/>
      <c r="I89" s="11"/>
      <c r="J89" s="20"/>
    </row>
    <row r="90" spans="7:10" ht="15.75" customHeight="1" x14ac:dyDescent="0.3">
      <c r="G90" s="11"/>
      <c r="H90" s="11"/>
      <c r="I90" s="11"/>
      <c r="J90" s="20"/>
    </row>
    <row r="91" spans="7:10" ht="15.75" customHeight="1" x14ac:dyDescent="0.3">
      <c r="G91" s="11"/>
      <c r="H91" s="11"/>
      <c r="I91" s="11"/>
      <c r="J91" s="20"/>
    </row>
    <row r="92" spans="7:10" ht="15.75" customHeight="1" x14ac:dyDescent="0.3">
      <c r="G92" s="11"/>
      <c r="H92" s="11"/>
      <c r="I92" s="11"/>
      <c r="J92" s="20"/>
    </row>
    <row r="93" spans="7:10" ht="15.75" customHeight="1" x14ac:dyDescent="0.3">
      <c r="G93" s="11"/>
      <c r="H93" s="11"/>
      <c r="I93" s="11"/>
      <c r="J93" s="20"/>
    </row>
    <row r="94" spans="7:10" ht="15.75" customHeight="1" x14ac:dyDescent="0.3">
      <c r="G94" s="11"/>
      <c r="H94" s="11"/>
      <c r="I94" s="11"/>
      <c r="J94" s="20"/>
    </row>
    <row r="95" spans="7:10" ht="15.75" customHeight="1" x14ac:dyDescent="0.3">
      <c r="G95" s="11"/>
      <c r="H95" s="11"/>
      <c r="I95" s="11"/>
      <c r="J95" s="20"/>
    </row>
    <row r="96" spans="7:10" ht="15.75" customHeight="1" x14ac:dyDescent="0.3">
      <c r="G96" s="11"/>
      <c r="H96" s="11"/>
      <c r="I96" s="11"/>
      <c r="J96" s="20"/>
    </row>
    <row r="97" spans="7:10" ht="15.75" customHeight="1" x14ac:dyDescent="0.3">
      <c r="G97" s="11"/>
      <c r="H97" s="11"/>
      <c r="I97" s="11"/>
      <c r="J97" s="20"/>
    </row>
    <row r="98" spans="7:10" ht="15.75" customHeight="1" x14ac:dyDescent="0.3">
      <c r="G98" s="11"/>
      <c r="H98" s="11"/>
      <c r="I98" s="11"/>
      <c r="J98" s="20"/>
    </row>
    <row r="99" spans="7:10" ht="15.75" customHeight="1" x14ac:dyDescent="0.3">
      <c r="G99" s="11"/>
      <c r="H99" s="11"/>
      <c r="I99" s="11"/>
      <c r="J99" s="20"/>
    </row>
    <row r="100" spans="7:10" ht="15.75" customHeight="1" x14ac:dyDescent="0.3">
      <c r="G100" s="11"/>
      <c r="H100" s="11"/>
      <c r="I100" s="11"/>
      <c r="J100" s="20"/>
    </row>
    <row r="101" spans="7:10" ht="15.75" customHeight="1" x14ac:dyDescent="0.3">
      <c r="G101" s="11"/>
      <c r="H101" s="11"/>
      <c r="I101" s="11"/>
      <c r="J101" s="20"/>
    </row>
    <row r="102" spans="7:10" ht="15.75" customHeight="1" x14ac:dyDescent="0.3">
      <c r="G102" s="11"/>
      <c r="H102" s="11"/>
      <c r="I102" s="11"/>
      <c r="J102" s="20"/>
    </row>
    <row r="103" spans="7:10" ht="15.75" customHeight="1" x14ac:dyDescent="0.3">
      <c r="G103" s="18"/>
      <c r="H103" s="18"/>
      <c r="I103" s="18"/>
      <c r="J103" s="19"/>
    </row>
    <row r="104" spans="7:10" ht="15.75" customHeight="1" x14ac:dyDescent="0.3"/>
    <row r="105" spans="7:10" ht="15.75" customHeight="1" x14ac:dyDescent="0.3"/>
    <row r="106" spans="7:10" ht="15.75" customHeight="1" x14ac:dyDescent="0.3"/>
    <row r="107" spans="7:10" ht="15.75" customHeight="1" x14ac:dyDescent="0.3"/>
    <row r="108" spans="7:10" ht="15.75" customHeight="1" x14ac:dyDescent="0.3"/>
    <row r="109" spans="7:10" ht="15.75" customHeight="1" x14ac:dyDescent="0.3"/>
    <row r="110" spans="7:10" ht="15.75" customHeight="1" x14ac:dyDescent="0.3"/>
    <row r="111" spans="7:10" ht="15.75" customHeight="1" x14ac:dyDescent="0.3"/>
    <row r="112" spans="7:10"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heetViews>
  <sheetFormatPr defaultColWidth="14.44140625" defaultRowHeight="15" customHeight="1" x14ac:dyDescent="0.3"/>
  <cols>
    <col min="1" max="5" width="18.6640625" customWidth="1"/>
    <col min="6" max="26" width="8.6640625" customWidth="1"/>
  </cols>
  <sheetData>
    <row r="1" spans="1:5" ht="18" customHeight="1" x14ac:dyDescent="0.3">
      <c r="A1" s="4" t="s">
        <v>2</v>
      </c>
      <c r="B1" s="4" t="s">
        <v>5</v>
      </c>
      <c r="C1" s="4" t="s">
        <v>6</v>
      </c>
      <c r="D1" s="4" t="s">
        <v>7</v>
      </c>
      <c r="E1" s="4" t="s">
        <v>112</v>
      </c>
    </row>
    <row r="2" spans="1:5" ht="18" customHeight="1" x14ac:dyDescent="0.3">
      <c r="A2" s="5" t="s">
        <v>11</v>
      </c>
      <c r="B2" s="5" t="s">
        <v>13</v>
      </c>
      <c r="C2" s="5" t="s">
        <v>14</v>
      </c>
      <c r="D2" s="5" t="s">
        <v>113</v>
      </c>
      <c r="E2" s="6">
        <v>55000</v>
      </c>
    </row>
    <row r="3" spans="1:5" ht="18" customHeight="1" x14ac:dyDescent="0.3">
      <c r="A3" s="2" t="s">
        <v>17</v>
      </c>
      <c r="B3" s="2" t="s">
        <v>19</v>
      </c>
      <c r="C3" s="2" t="s">
        <v>20</v>
      </c>
      <c r="D3" s="2" t="s">
        <v>113</v>
      </c>
      <c r="E3" s="7">
        <v>1200</v>
      </c>
    </row>
    <row r="4" spans="1:5" ht="18" customHeight="1" x14ac:dyDescent="0.3">
      <c r="A4" s="5" t="s">
        <v>23</v>
      </c>
      <c r="B4" s="5" t="s">
        <v>25</v>
      </c>
      <c r="C4" s="5" t="s">
        <v>26</v>
      </c>
      <c r="D4" s="5" t="s">
        <v>114</v>
      </c>
      <c r="E4" s="6">
        <v>15000</v>
      </c>
    </row>
    <row r="5" spans="1:5" ht="18" customHeight="1" x14ac:dyDescent="0.3">
      <c r="A5" s="2" t="s">
        <v>29</v>
      </c>
      <c r="B5" s="2" t="s">
        <v>31</v>
      </c>
      <c r="C5" s="2" t="s">
        <v>32</v>
      </c>
      <c r="D5" s="2" t="s">
        <v>115</v>
      </c>
      <c r="E5" s="7">
        <v>450</v>
      </c>
    </row>
    <row r="6" spans="1:5" ht="18" customHeight="1" x14ac:dyDescent="0.3">
      <c r="A6" s="5" t="s">
        <v>35</v>
      </c>
      <c r="B6" s="5" t="s">
        <v>37</v>
      </c>
      <c r="C6" s="5" t="s">
        <v>20</v>
      </c>
      <c r="D6" s="5" t="s">
        <v>113</v>
      </c>
      <c r="E6" s="6">
        <v>3500</v>
      </c>
    </row>
    <row r="7" spans="1:5" ht="18" customHeight="1" x14ac:dyDescent="0.3">
      <c r="A7" s="2" t="s">
        <v>40</v>
      </c>
      <c r="B7" s="2" t="s">
        <v>41</v>
      </c>
      <c r="C7" s="2" t="s">
        <v>26</v>
      </c>
      <c r="D7" s="2" t="s">
        <v>114</v>
      </c>
      <c r="E7" s="7">
        <v>28000</v>
      </c>
    </row>
    <row r="8" spans="1:5" ht="18" customHeight="1" x14ac:dyDescent="0.3">
      <c r="A8" s="5" t="s">
        <v>44</v>
      </c>
      <c r="B8" s="5" t="s">
        <v>45</v>
      </c>
      <c r="C8" s="5" t="s">
        <v>14</v>
      </c>
      <c r="D8" s="5" t="s">
        <v>113</v>
      </c>
      <c r="E8" s="6">
        <v>4500</v>
      </c>
    </row>
    <row r="9" spans="1:5" ht="18" customHeight="1" x14ac:dyDescent="0.3">
      <c r="A9" s="2" t="s">
        <v>68</v>
      </c>
      <c r="B9" s="2" t="s">
        <v>69</v>
      </c>
      <c r="C9" s="2" t="s">
        <v>20</v>
      </c>
      <c r="D9" s="2" t="s">
        <v>116</v>
      </c>
      <c r="E9" s="7">
        <v>850</v>
      </c>
    </row>
    <row r="10" spans="1:5" ht="18" customHeight="1" x14ac:dyDescent="0.3">
      <c r="A10" s="5" t="s">
        <v>48</v>
      </c>
      <c r="B10" s="5" t="s">
        <v>49</v>
      </c>
      <c r="C10" s="5" t="s">
        <v>14</v>
      </c>
      <c r="D10" s="5" t="s">
        <v>113</v>
      </c>
      <c r="E10" s="6">
        <v>32000</v>
      </c>
    </row>
    <row r="11" spans="1:5" ht="18" customHeight="1" x14ac:dyDescent="0.3">
      <c r="A11" s="2" t="s">
        <v>52</v>
      </c>
      <c r="B11" s="2" t="s">
        <v>53</v>
      </c>
      <c r="C11" s="2" t="s">
        <v>26</v>
      </c>
      <c r="D11" s="2" t="s">
        <v>114</v>
      </c>
      <c r="E11" s="7">
        <v>2200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LUKE</cp:lastModifiedBy>
  <dcterms:created xsi:type="dcterms:W3CDTF">2026-05-01T12:14:10Z</dcterms:created>
  <dcterms:modified xsi:type="dcterms:W3CDTF">2026-07-18T18:25:31Z</dcterms:modified>
</cp:coreProperties>
</file>