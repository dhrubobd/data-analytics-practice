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cis\Data Analytics Practice\Day 3\"/>
    </mc:Choice>
  </mc:AlternateContent>
  <xr:revisionPtr revIDLastSave="0" documentId="13_ncr:1_{45248EB8-5890-4E3D-9D34-38A98E47F815}" xr6:coauthVersionLast="47" xr6:coauthVersionMax="47" xr10:uidLastSave="{00000000-0000-0000-0000-000000000000}"/>
  <bookViews>
    <workbookView xWindow="-108" yWindow="-108" windowWidth="23256" windowHeight="13176" xr2:uid="{2C26B9A5-BE97-4C69-AF28-CEF3FE580AA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2" i="1"/>
</calcChain>
</file>

<file path=xl/sharedStrings.xml><?xml version="1.0" encoding="utf-8"?>
<sst xmlns="http://schemas.openxmlformats.org/spreadsheetml/2006/main" count="174" uniqueCount="80">
  <si>
    <t>Sale ID</t>
  </si>
  <si>
    <t>Date</t>
  </si>
  <si>
    <t>Product ID</t>
  </si>
  <si>
    <t>Region</t>
  </si>
  <si>
    <t>Qty Sold</t>
  </si>
  <si>
    <t>Product Name</t>
  </si>
  <si>
    <t>Category</t>
  </si>
  <si>
    <t>Brand</t>
  </si>
  <si>
    <t>Total Price</t>
  </si>
  <si>
    <t>S001</t>
  </si>
  <si>
    <t>P001</t>
  </si>
  <si>
    <t>Dhaka</t>
  </si>
  <si>
    <t>Laptop Pro</t>
  </si>
  <si>
    <t>Electronics</t>
  </si>
  <si>
    <t>S002</t>
  </si>
  <si>
    <t>P002</t>
  </si>
  <si>
    <t>Chittagong</t>
  </si>
  <si>
    <t>Wireless Mouse</t>
  </si>
  <si>
    <t>Accessories</t>
  </si>
  <si>
    <t>S003</t>
  </si>
  <si>
    <t>P003</t>
  </si>
  <si>
    <t>Sylhet</t>
  </si>
  <si>
    <t>Office Chair</t>
  </si>
  <si>
    <t>Furniture</t>
  </si>
  <si>
    <t>S004</t>
  </si>
  <si>
    <t>P004</t>
  </si>
  <si>
    <t>Rajshahi</t>
  </si>
  <si>
    <t>Notebook Set</t>
  </si>
  <si>
    <t>Stationery</t>
  </si>
  <si>
    <t>S005</t>
  </si>
  <si>
    <t>P005</t>
  </si>
  <si>
    <t>Khulna</t>
  </si>
  <si>
    <t>USB-C Hub</t>
  </si>
  <si>
    <t>S006</t>
  </si>
  <si>
    <t>P006</t>
  </si>
  <si>
    <t>Standing Desk</t>
  </si>
  <si>
    <t>S007</t>
  </si>
  <si>
    <t>P007</t>
  </si>
  <si>
    <t>Webcam HD</t>
  </si>
  <si>
    <t>S009</t>
  </si>
  <si>
    <t>P009</t>
  </si>
  <si>
    <t>Monitor 27"</t>
  </si>
  <si>
    <t>S010</t>
  </si>
  <si>
    <t>P010</t>
  </si>
  <si>
    <t>Desk Lamp LED</t>
  </si>
  <si>
    <t>S011</t>
  </si>
  <si>
    <t>S012</t>
  </si>
  <si>
    <t>S013</t>
  </si>
  <si>
    <t>S014</t>
  </si>
  <si>
    <t>S015</t>
  </si>
  <si>
    <t>S017</t>
  </si>
  <si>
    <t>S018</t>
  </si>
  <si>
    <t>P008</t>
  </si>
  <si>
    <t>Pen Drive 128GB</t>
  </si>
  <si>
    <t>S019</t>
  </si>
  <si>
    <t>S020</t>
  </si>
  <si>
    <t>S021</t>
  </si>
  <si>
    <t>S022</t>
  </si>
  <si>
    <t>S023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</si>
  <si>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</si>
  <si>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</si>
  <si>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</si>
  <si>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</si>
  <si>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</si>
  <si>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</si>
  <si>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</si>
  <si>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</si>
  <si>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</si>
  <si>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S035</t>
  </si>
  <si>
    <t>S036</t>
  </si>
  <si>
    <t>S037</t>
  </si>
  <si>
    <t>S038</t>
  </si>
  <si>
    <t>S039</t>
  </si>
  <si>
    <t>S040</t>
  </si>
  <si>
    <t>S041</t>
  </si>
  <si>
    <t>Unit Price (৳)</t>
  </si>
  <si>
    <t>TechBrand</t>
  </si>
  <si>
    <t>ComfortZone</t>
  </si>
  <si>
    <t>WriteRight</t>
  </si>
  <si>
    <t>StorePro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</si>
</sst>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2" fillId="2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9BDB-D41F-4CBB-803E-F65621478E20}">
  <dimension ref="A1:J41"/>
  <sheetViews>
    <sheetView tabSelected="1" workbookViewId="0">
      <selection activeCell="H2" sqref="H2"/>
    </sheetView>
  </sheetViews>
  <sheetFormatPr defaultRowHeight="14.4" x14ac:dyDescent="0.3"/>
  <cols>
    <col min="1" max="5" width="13.77734375" customWidth="1"/>
    <col min="6" max="6" width="17.5546875" customWidth="1"/>
    <col min="7" max="9" width="13.77734375" customWidth="1"/>
  </cols>
  <sheetData>
    <row r="1" spans="1:10" ht="25.0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0" ht="25.05" customHeight="1" x14ac:dyDescent="0.3">
      <c r="A2" s="5" t="s">
        <v>9</v>
      </c>
      <c r="B2" s="6">
        <v>45296</v>
      </c>
      <c r="C2" s="5" t="s">
        <v>10</v>
      </c>
      <c r="D2" s="5" t="s">
        <v>11</v>
      </c>
      <c r="E2" s="5">
        <v>4</v>
      </c>
      <c r="F2" s="5" t="str">
        <f>_xlfn.XLOOKUP(C2,Sheet2!$A$2:$A$11,Sheet2!$B$2:$B$11)</f>
        <v>Laptop Pro</v>
      </c>
      <c r="G2" s="5" t="str">
        <f>_xlfn.XLOOKUP(C2,Sheet2!$A$2:$A$11,Sheet2!$C$2:$C$11)</f>
        <v>Electronics</v>
      </c>
      <c r="H2" s="9"/>
      <c r="I2" s="5"/>
      <c r="J2" s="1"/>
    </row>
    <row r="3" spans="1:10" ht="25.05" customHeight="1" x14ac:dyDescent="0.3">
      <c r="A3" s="5" t="s">
        <v>14</v>
      </c>
      <c r="B3" s="6">
        <v>45303</v>
      </c>
      <c r="C3" s="5" t="s">
        <v>15</v>
      </c>
      <c r="D3" s="5" t="s">
        <v>16</v>
      </c>
      <c r="E3" s="5">
        <v>1</v>
      </c>
      <c r="F3" s="5" t="str">
        <f>_xlfn.XLOOKUP(C3,Sheet2!$A$2:$A$11,Sheet2!$B$2:$B$11)</f>
        <v>Wireless Mouse</v>
      </c>
      <c r="G3" s="5" t="str">
        <f>_xlfn.XLOOKUP(C3,Sheet2!$A$2:$A$11,Sheet2!$C$2:$C$11)</f>
        <v>Accessories</v>
      </c>
      <c r="H3" s="9"/>
      <c r="I3" s="5"/>
      <c r="J3" s="1"/>
    </row>
    <row r="4" spans="1:10" ht="25.05" customHeight="1" x14ac:dyDescent="0.3">
      <c r="A4" s="5" t="s">
        <v>19</v>
      </c>
      <c r="B4" s="6">
        <v>45311</v>
      </c>
      <c r="C4" s="5" t="s">
        <v>20</v>
      </c>
      <c r="D4" s="5" t="s">
        <v>21</v>
      </c>
      <c r="E4" s="5">
        <v>9</v>
      </c>
      <c r="F4" s="5" t="str">
        <f>_xlfn.XLOOKUP(C4,Sheet2!$A$2:$A$11,Sheet2!$B$2:$B$11)</f>
        <v>Office Chair</v>
      </c>
      <c r="G4" s="5" t="str">
        <f>_xlfn.XLOOKUP(C4,Sheet2!$A$2:$A$11,Sheet2!$C$2:$C$11)</f>
        <v>Furniture</v>
      </c>
      <c r="H4" s="9"/>
      <c r="I4" s="5"/>
      <c r="J4" s="1"/>
    </row>
    <row r="5" spans="1:10" ht="25.05" customHeight="1" x14ac:dyDescent="0.3">
      <c r="A5" s="5" t="s">
        <v>24</v>
      </c>
      <c r="B5" s="6">
        <v>45316</v>
      </c>
      <c r="C5" s="5" t="s">
        <v>25</v>
      </c>
      <c r="D5" s="5" t="s">
        <v>26</v>
      </c>
      <c r="E5" s="5">
        <v>8</v>
      </c>
      <c r="F5" s="5" t="str">
        <f>_xlfn.XLOOKUP(C5,Sheet2!$A$2:$A$11,Sheet2!$B$2:$B$11)</f>
        <v>Notebook Set</v>
      </c>
      <c r="G5" s="5" t="str">
        <f>_xlfn.XLOOKUP(C5,Sheet2!$A$2:$A$11,Sheet2!$C$2:$C$11)</f>
        <v>Stationery</v>
      </c>
      <c r="H5" s="9"/>
      <c r="I5" s="5"/>
      <c r="J5" s="1"/>
    </row>
    <row r="6" spans="1:10" ht="25.05" customHeight="1" x14ac:dyDescent="0.3">
      <c r="A6" s="5" t="s">
        <v>29</v>
      </c>
      <c r="B6" s="6">
        <v>45325</v>
      </c>
      <c r="C6" s="5" t="s">
        <v>30</v>
      </c>
      <c r="D6" s="5" t="s">
        <v>31</v>
      </c>
      <c r="E6" s="5">
        <v>8</v>
      </c>
      <c r="F6" s="5" t="str">
        <f>_xlfn.XLOOKUP(C6,Sheet2!$A$2:$A$11,Sheet2!$B$2:$B$11)</f>
        <v>USB-C Hub</v>
      </c>
      <c r="G6" s="5" t="str">
        <f>_xlfn.XLOOKUP(C6,Sheet2!$A$2:$A$11,Sheet2!$C$2:$C$11)</f>
        <v>Accessories</v>
      </c>
      <c r="H6" s="9"/>
      <c r="I6" s="5"/>
      <c r="J6" s="1"/>
    </row>
    <row r="7" spans="1:10" ht="25.05" customHeight="1" x14ac:dyDescent="0.3">
      <c r="A7" s="5" t="s">
        <v>33</v>
      </c>
      <c r="B7" s="6">
        <v>45332</v>
      </c>
      <c r="C7" s="5" t="s">
        <v>34</v>
      </c>
      <c r="D7" s="5" t="s">
        <v>11</v>
      </c>
      <c r="E7" s="5">
        <v>5</v>
      </c>
      <c r="F7" s="5" t="str">
        <f>_xlfn.XLOOKUP(C7,Sheet2!$A$2:$A$11,Sheet2!$B$2:$B$11)</f>
        <v>Standing Desk</v>
      </c>
      <c r="G7" s="5" t="str">
        <f>_xlfn.XLOOKUP(C7,Sheet2!$A$2:$A$11,Sheet2!$C$2:$C$11)</f>
        <v>Furniture</v>
      </c>
      <c r="H7" s="9"/>
      <c r="I7" s="5"/>
      <c r="J7" s="1"/>
    </row>
    <row r="8" spans="1:10" ht="25.05" customHeight="1" x14ac:dyDescent="0.3">
      <c r="A8" s="5" t="s">
        <v>33</v>
      </c>
      <c r="B8" s="6">
        <v>45332</v>
      </c>
      <c r="C8" s="5" t="s">
        <v>34</v>
      </c>
      <c r="D8" s="5" t="s">
        <v>11</v>
      </c>
      <c r="E8" s="5">
        <v>5</v>
      </c>
      <c r="F8" s="5" t="str">
        <f>_xlfn.XLOOKUP(C8,Sheet2!$A$2:$A$11,Sheet2!$B$2:$B$11)</f>
        <v>Standing Desk</v>
      </c>
      <c r="G8" s="5" t="str">
        <f>_xlfn.XLOOKUP(C8,Sheet2!$A$2:$A$11,Sheet2!$C$2:$C$11)</f>
        <v>Furniture</v>
      </c>
      <c r="H8" s="9"/>
      <c r="I8" s="5"/>
      <c r="J8" s="1"/>
    </row>
    <row r="9" spans="1:10" ht="25.05" customHeight="1" x14ac:dyDescent="0.3">
      <c r="A9" s="5" t="s">
        <v>36</v>
      </c>
      <c r="B9" s="6">
        <v>45340</v>
      </c>
      <c r="C9" s="5" t="s">
        <v>37</v>
      </c>
      <c r="D9" s="5" t="s">
        <v>16</v>
      </c>
      <c r="E9" s="5">
        <v>4</v>
      </c>
      <c r="F9" s="5" t="str">
        <f>_xlfn.XLOOKUP(C9,Sheet2!$A$2:$A$11,Sheet2!$B$2:$B$11)</f>
        <v>Webcam HD</v>
      </c>
      <c r="G9" s="5" t="str">
        <f>_xlfn.XLOOKUP(C9,Sheet2!$A$2:$A$11,Sheet2!$C$2:$C$11)</f>
        <v>Electronics</v>
      </c>
      <c r="H9" s="9"/>
      <c r="I9" s="5"/>
      <c r="J9" s="1"/>
    </row>
    <row r="10" spans="1:10" ht="25.05" customHeight="1" x14ac:dyDescent="0.3">
      <c r="A10" s="5" t="s">
        <v>39</v>
      </c>
      <c r="B10" s="6">
        <v>45352</v>
      </c>
      <c r="C10" s="5" t="s">
        <v>40</v>
      </c>
      <c r="D10" s="5" t="s">
        <v>26</v>
      </c>
      <c r="E10" s="5">
        <v>3</v>
      </c>
      <c r="F10" s="5" t="str">
        <f>_xlfn.XLOOKUP(C10,Sheet2!$A$2:$A$11,Sheet2!$B$2:$B$11)</f>
        <v>Monitor 27"</v>
      </c>
      <c r="G10" s="5" t="str">
        <f>_xlfn.XLOOKUP(C10,Sheet2!$A$2:$A$11,Sheet2!$C$2:$C$11)</f>
        <v>Electronics</v>
      </c>
      <c r="H10" s="9"/>
      <c r="I10" s="5"/>
      <c r="J10" s="1"/>
    </row>
    <row r="11" spans="1:10" ht="25.05" customHeight="1" x14ac:dyDescent="0.3">
      <c r="A11" s="5" t="s">
        <v>42</v>
      </c>
      <c r="B11" s="6">
        <v>45359</v>
      </c>
      <c r="C11" s="5" t="s">
        <v>43</v>
      </c>
      <c r="D11" s="5" t="s">
        <v>31</v>
      </c>
      <c r="E11" s="5">
        <v>19</v>
      </c>
      <c r="F11" s="5" t="str">
        <f>_xlfn.XLOOKUP(C11,Sheet2!$A$2:$A$11,Sheet2!$B$2:$B$11)</f>
        <v>Desk Lamp LED</v>
      </c>
      <c r="G11" s="5" t="str">
        <f>_xlfn.XLOOKUP(C11,Sheet2!$A$2:$A$11,Sheet2!$C$2:$C$11)</f>
        <v>Furniture</v>
      </c>
      <c r="H11" s="9"/>
      <c r="I11" s="5"/>
      <c r="J11" s="1"/>
    </row>
    <row r="12" spans="1:10" ht="25.05" customHeight="1" x14ac:dyDescent="0.3">
      <c r="A12" s="5" t="s">
        <v>45</v>
      </c>
      <c r="B12" s="6">
        <v>45366</v>
      </c>
      <c r="C12" s="5" t="s">
        <v>10</v>
      </c>
      <c r="D12" s="5" t="s">
        <v>11</v>
      </c>
      <c r="E12" s="5">
        <v>14</v>
      </c>
      <c r="F12" s="5" t="str">
        <f>_xlfn.XLOOKUP(C12,Sheet2!$A$2:$A$11,Sheet2!$B$2:$B$11)</f>
        <v>Laptop Pro</v>
      </c>
      <c r="G12" s="5" t="str">
        <f>_xlfn.XLOOKUP(C12,Sheet2!$A$2:$A$11,Sheet2!$C$2:$C$11)</f>
        <v>Electronics</v>
      </c>
      <c r="H12" s="9"/>
      <c r="I12" s="5"/>
      <c r="J12" s="1"/>
    </row>
    <row r="13" spans="1:10" ht="25.05" customHeight="1" x14ac:dyDescent="0.3">
      <c r="A13" s="5" t="s">
        <v>46</v>
      </c>
      <c r="B13" s="6">
        <v>45373</v>
      </c>
      <c r="C13" s="5" t="s">
        <v>15</v>
      </c>
      <c r="D13" s="5" t="s">
        <v>16</v>
      </c>
      <c r="E13" s="5">
        <v>2</v>
      </c>
      <c r="F13" s="5" t="str">
        <f>_xlfn.XLOOKUP(C13,Sheet2!$A$2:$A$11,Sheet2!$B$2:$B$11)</f>
        <v>Wireless Mouse</v>
      </c>
      <c r="G13" s="5" t="str">
        <f>_xlfn.XLOOKUP(C13,Sheet2!$A$2:$A$11,Sheet2!$C$2:$C$11)</f>
        <v>Accessories</v>
      </c>
      <c r="H13" s="9"/>
      <c r="I13" s="5"/>
      <c r="J13" s="1"/>
    </row>
    <row r="14" spans="1:10" ht="25.05" customHeight="1" x14ac:dyDescent="0.3">
      <c r="A14" s="5" t="s">
        <v>47</v>
      </c>
      <c r="B14" s="6">
        <v>45379</v>
      </c>
      <c r="C14" s="5" t="s">
        <v>20</v>
      </c>
      <c r="D14" s="5" t="s">
        <v>21</v>
      </c>
      <c r="E14" s="5">
        <v>1</v>
      </c>
      <c r="F14" s="5" t="str">
        <f>_xlfn.XLOOKUP(C14,Sheet2!$A$2:$A$11,Sheet2!$B$2:$B$11)</f>
        <v>Office Chair</v>
      </c>
      <c r="G14" s="5" t="str">
        <f>_xlfn.XLOOKUP(C14,Sheet2!$A$2:$A$11,Sheet2!$C$2:$C$11)</f>
        <v>Furniture</v>
      </c>
      <c r="H14" s="9"/>
      <c r="I14" s="5"/>
      <c r="J14" s="1"/>
    </row>
    <row r="15" spans="1:10" ht="25.05" customHeight="1" x14ac:dyDescent="0.3">
      <c r="A15" s="5" t="s">
        <v>48</v>
      </c>
      <c r="B15" s="6">
        <v>45384</v>
      </c>
      <c r="C15" s="5" t="s">
        <v>25</v>
      </c>
      <c r="D15" s="5" t="s">
        <v>26</v>
      </c>
      <c r="E15" s="5">
        <v>3</v>
      </c>
      <c r="F15" s="5" t="str">
        <f>_xlfn.XLOOKUP(C15,Sheet2!$A$2:$A$11,Sheet2!$B$2:$B$11)</f>
        <v>Notebook Set</v>
      </c>
      <c r="G15" s="5" t="str">
        <f>_xlfn.XLOOKUP(C15,Sheet2!$A$2:$A$11,Sheet2!$C$2:$C$11)</f>
        <v>Stationery</v>
      </c>
      <c r="H15" s="9"/>
      <c r="I15" s="5"/>
      <c r="J15" s="1"/>
    </row>
    <row r="16" spans="1:10" ht="25.05" customHeight="1" x14ac:dyDescent="0.3">
      <c r="A16" s="5" t="s">
        <v>49</v>
      </c>
      <c r="B16" s="6">
        <v>45392</v>
      </c>
      <c r="C16" s="5" t="s">
        <v>30</v>
      </c>
      <c r="D16" s="5" t="s">
        <v>31</v>
      </c>
      <c r="E16" s="5">
        <v>7</v>
      </c>
      <c r="F16" s="5" t="str">
        <f>_xlfn.XLOOKUP(C16,Sheet2!$A$2:$A$11,Sheet2!$B$2:$B$11)</f>
        <v>USB-C Hub</v>
      </c>
      <c r="G16" s="5" t="str">
        <f>_xlfn.XLOOKUP(C16,Sheet2!$A$2:$A$11,Sheet2!$C$2:$C$11)</f>
        <v>Accessories</v>
      </c>
      <c r="H16" s="9"/>
      <c r="I16" s="5"/>
      <c r="J16" s="1"/>
    </row>
    <row r="17" spans="1:10" ht="25.05" customHeight="1" x14ac:dyDescent="0.3">
      <c r="A17" s="5" t="s">
        <v>50</v>
      </c>
      <c r="B17" s="6">
        <v>45407</v>
      </c>
      <c r="C17" s="5" t="s">
        <v>37</v>
      </c>
      <c r="D17" s="5" t="s">
        <v>16</v>
      </c>
      <c r="E17" s="5">
        <v>17</v>
      </c>
      <c r="F17" s="5" t="str">
        <f>_xlfn.XLOOKUP(C17,Sheet2!$A$2:$A$11,Sheet2!$B$2:$B$11)</f>
        <v>Webcam HD</v>
      </c>
      <c r="G17" s="5" t="str">
        <f>_xlfn.XLOOKUP(C17,Sheet2!$A$2:$A$11,Sheet2!$C$2:$C$11)</f>
        <v>Electronics</v>
      </c>
      <c r="H17" s="9"/>
      <c r="I17" s="5"/>
      <c r="J17" s="1"/>
    </row>
    <row r="18" spans="1:10" ht="25.05" customHeight="1" x14ac:dyDescent="0.3">
      <c r="A18" s="5" t="s">
        <v>51</v>
      </c>
      <c r="B18" s="6">
        <v>45417</v>
      </c>
      <c r="C18" s="5" t="s">
        <v>52</v>
      </c>
      <c r="D18" s="5" t="s">
        <v>21</v>
      </c>
      <c r="E18" s="5">
        <v>20</v>
      </c>
      <c r="F18" s="5" t="str">
        <f>_xlfn.XLOOKUP(C18,Sheet2!$A$2:$A$11,Sheet2!$B$2:$B$11)</f>
        <v>Pen Drive 128GB</v>
      </c>
      <c r="G18" s="5" t="str">
        <f>_xlfn.XLOOKUP(C18,Sheet2!$A$2:$A$11,Sheet2!$C$2:$C$11)</f>
        <v>Accessories</v>
      </c>
      <c r="H18" s="9"/>
      <c r="I18" s="5"/>
      <c r="J18" s="1"/>
    </row>
    <row r="19" spans="1:10" ht="25.05" customHeight="1" x14ac:dyDescent="0.3">
      <c r="A19" s="5" t="s">
        <v>54</v>
      </c>
      <c r="B19" s="6">
        <v>45424</v>
      </c>
      <c r="C19" s="5" t="s">
        <v>40</v>
      </c>
      <c r="D19" s="5" t="s">
        <v>26</v>
      </c>
      <c r="E19" s="5">
        <v>1</v>
      </c>
      <c r="F19" s="5" t="str">
        <f>_xlfn.XLOOKUP(C19,Sheet2!$A$2:$A$11,Sheet2!$B$2:$B$11)</f>
        <v>Monitor 27"</v>
      </c>
      <c r="G19" s="5" t="str">
        <f>_xlfn.XLOOKUP(C19,Sheet2!$A$2:$A$11,Sheet2!$C$2:$C$11)</f>
        <v>Electronics</v>
      </c>
      <c r="H19" s="9"/>
      <c r="I19" s="5"/>
      <c r="J19" s="1"/>
    </row>
    <row r="20" spans="1:10" ht="25.05" customHeight="1" x14ac:dyDescent="0.3">
      <c r="A20" s="5" t="s">
        <v>55</v>
      </c>
      <c r="B20" s="6">
        <v>45432</v>
      </c>
      <c r="C20" s="5" t="s">
        <v>43</v>
      </c>
      <c r="D20" s="5" t="s">
        <v>31</v>
      </c>
      <c r="E20" s="5">
        <v>18</v>
      </c>
      <c r="F20" s="5" t="str">
        <f>_xlfn.XLOOKUP(C20,Sheet2!$A$2:$A$11,Sheet2!$B$2:$B$11)</f>
        <v>Desk Lamp LED</v>
      </c>
      <c r="G20" s="5" t="str">
        <f>_xlfn.XLOOKUP(C20,Sheet2!$A$2:$A$11,Sheet2!$C$2:$C$11)</f>
        <v>Furniture</v>
      </c>
      <c r="H20" s="9"/>
      <c r="I20" s="5"/>
      <c r="J20" s="1"/>
    </row>
    <row r="21" spans="1:10" ht="25.05" customHeight="1" x14ac:dyDescent="0.3">
      <c r="A21" s="5" t="s">
        <v>56</v>
      </c>
      <c r="B21" s="6">
        <v>45440</v>
      </c>
      <c r="C21" s="5" t="s">
        <v>10</v>
      </c>
      <c r="D21" s="5" t="s">
        <v>11</v>
      </c>
      <c r="E21" s="5">
        <v>7</v>
      </c>
      <c r="F21" s="5" t="str">
        <f>_xlfn.XLOOKUP(C21,Sheet2!$A$2:$A$11,Sheet2!$B$2:$B$11)</f>
        <v>Laptop Pro</v>
      </c>
      <c r="G21" s="5" t="str">
        <f>_xlfn.XLOOKUP(C21,Sheet2!$A$2:$A$11,Sheet2!$C$2:$C$11)</f>
        <v>Electronics</v>
      </c>
      <c r="H21" s="9"/>
      <c r="I21" s="5"/>
      <c r="J21" s="1"/>
    </row>
    <row r="22" spans="1:10" ht="25.05" customHeight="1" x14ac:dyDescent="0.3">
      <c r="A22" s="5" t="s">
        <v>56</v>
      </c>
      <c r="B22" s="6">
        <v>45440</v>
      </c>
      <c r="C22" s="5" t="s">
        <v>10</v>
      </c>
      <c r="D22" s="5" t="s">
        <v>11</v>
      </c>
      <c r="E22" s="5">
        <v>7</v>
      </c>
      <c r="F22" s="5" t="str">
        <f>_xlfn.XLOOKUP(C22,Sheet2!$A$2:$A$11,Sheet2!$B$2:$B$11)</f>
        <v>Laptop Pro</v>
      </c>
      <c r="G22" s="5" t="str">
        <f>_xlfn.XLOOKUP(C22,Sheet2!$A$2:$A$11,Sheet2!$C$2:$C$11)</f>
        <v>Electronics</v>
      </c>
      <c r="H22" s="9"/>
      <c r="I22" s="5"/>
      <c r="J22" s="1"/>
    </row>
    <row r="23" spans="1:10" ht="25.05" customHeight="1" x14ac:dyDescent="0.3">
      <c r="A23" s="5" t="s">
        <v>57</v>
      </c>
      <c r="B23" s="6">
        <v>45446</v>
      </c>
      <c r="C23" s="5" t="s">
        <v>15</v>
      </c>
      <c r="D23" s="5" t="s">
        <v>16</v>
      </c>
      <c r="E23" s="5">
        <v>18</v>
      </c>
      <c r="F23" s="5" t="str">
        <f>_xlfn.XLOOKUP(C23,Sheet2!$A$2:$A$11,Sheet2!$B$2:$B$11)</f>
        <v>Wireless Mouse</v>
      </c>
      <c r="G23" s="5" t="str">
        <f>_xlfn.XLOOKUP(C23,Sheet2!$A$2:$A$11,Sheet2!$C$2:$C$11)</f>
        <v>Accessories</v>
      </c>
      <c r="H23" s="9"/>
      <c r="I23" s="5"/>
      <c r="J23" s="1"/>
    </row>
    <row r="24" spans="1:10" ht="25.05" customHeight="1" x14ac:dyDescent="0.3">
      <c r="A24" s="5" t="s">
        <v>58</v>
      </c>
      <c r="B24" s="6">
        <v>45453</v>
      </c>
      <c r="C24" s="5" t="s">
        <v>20</v>
      </c>
      <c r="D24" s="5" t="s">
        <v>21</v>
      </c>
      <c r="E24" s="5">
        <v>14</v>
      </c>
      <c r="F24" s="5" t="str">
        <f>_xlfn.XLOOKUP(C24,Sheet2!$A$2:$A$11,Sheet2!$B$2:$B$11)</f>
        <v>Office Chair</v>
      </c>
      <c r="G24" s="5" t="str">
        <f>_xlfn.XLOOKUP(C24,Sheet2!$A$2:$A$11,Sheet2!$C$2:$C$11)</f>
        <v>Furniture</v>
      </c>
      <c r="H24" s="9"/>
      <c r="I24" s="5"/>
      <c r="J24" s="1"/>
    </row>
    <row r="25" spans="1:10" ht="25.05" customHeight="1" x14ac:dyDescent="0.3">
      <c r="A25" s="5" t="s">
        <v>59</v>
      </c>
      <c r="B25" s="6">
        <v>45468</v>
      </c>
      <c r="C25" s="5" t="s">
        <v>30</v>
      </c>
      <c r="D25" s="5" t="s">
        <v>31</v>
      </c>
      <c r="E25" s="5">
        <v>15</v>
      </c>
      <c r="F25" s="5" t="str">
        <f>_xlfn.XLOOKUP(C25,Sheet2!$A$2:$A$11,Sheet2!$B$2:$B$11)</f>
        <v>USB-C Hub</v>
      </c>
      <c r="G25" s="5" t="str">
        <f>_xlfn.XLOOKUP(C25,Sheet2!$A$2:$A$11,Sheet2!$C$2:$C$11)</f>
        <v>Accessories</v>
      </c>
      <c r="H25" s="9"/>
      <c r="I25" s="5"/>
      <c r="J25" s="1"/>
    </row>
    <row r="26" spans="1:10" ht="25.05" customHeight="1" x14ac:dyDescent="0.3">
      <c r="A26" s="5" t="s">
        <v>60</v>
      </c>
      <c r="B26" s="6">
        <v>45475</v>
      </c>
      <c r="C26" s="5" t="s">
        <v>34</v>
      </c>
      <c r="D26" s="5" t="s">
        <v>11</v>
      </c>
      <c r="E26" s="5">
        <v>19</v>
      </c>
      <c r="F26" s="5" t="str">
        <f>_xlfn.XLOOKUP(C26,Sheet2!$A$2:$A$11,Sheet2!$B$2:$B$11)</f>
        <v>Standing Desk</v>
      </c>
      <c r="G26" s="5" t="str">
        <f>_xlfn.XLOOKUP(C26,Sheet2!$A$2:$A$11,Sheet2!$C$2:$C$11)</f>
        <v>Furniture</v>
      </c>
      <c r="H26" s="9"/>
      <c r="I26" s="5"/>
      <c r="J26" s="1"/>
    </row>
    <row r="27" spans="1:10" ht="25.05" customHeight="1" x14ac:dyDescent="0.3">
      <c r="A27" s="5" t="s">
        <v>61</v>
      </c>
      <c r="B27" s="6">
        <v>45483</v>
      </c>
      <c r="C27" s="5" t="s">
        <v>37</v>
      </c>
      <c r="D27" s="5" t="s">
        <v>16</v>
      </c>
      <c r="E27" s="5">
        <v>9</v>
      </c>
      <c r="F27" s="5" t="str">
        <f>_xlfn.XLOOKUP(C27,Sheet2!$A$2:$A$11,Sheet2!$B$2:$B$11)</f>
        <v>Webcam HD</v>
      </c>
      <c r="G27" s="5" t="str">
        <f>_xlfn.XLOOKUP(C27,Sheet2!$A$2:$A$11,Sheet2!$C$2:$C$11)</f>
        <v>Electronics</v>
      </c>
      <c r="H27" s="9"/>
      <c r="I27" s="5"/>
      <c r="J27" s="1"/>
    </row>
    <row r="28" spans="1:10" ht="25.05" customHeight="1" x14ac:dyDescent="0.3">
      <c r="A28" s="5" t="s">
        <v>62</v>
      </c>
      <c r="B28" s="6">
        <v>45491</v>
      </c>
      <c r="C28" s="5" t="s">
        <v>52</v>
      </c>
      <c r="D28" s="5" t="s">
        <v>21</v>
      </c>
      <c r="E28" s="5">
        <v>1</v>
      </c>
      <c r="F28" s="5" t="str">
        <f>_xlfn.XLOOKUP(C28,Sheet2!$A$2:$A$11,Sheet2!$B$2:$B$11)</f>
        <v>Pen Drive 128GB</v>
      </c>
      <c r="G28" s="5" t="str">
        <f>_xlfn.XLOOKUP(C28,Sheet2!$A$2:$A$11,Sheet2!$C$2:$C$11)</f>
        <v>Accessories</v>
      </c>
      <c r="H28" s="9"/>
      <c r="I28" s="5"/>
      <c r="J28" s="1"/>
    </row>
    <row r="29" spans="1:10" ht="25.05" customHeight="1" x14ac:dyDescent="0.3">
      <c r="A29" s="5" t="s">
        <v>63</v>
      </c>
      <c r="B29" s="6">
        <v>45498</v>
      </c>
      <c r="C29" s="5" t="s">
        <v>40</v>
      </c>
      <c r="D29" s="5" t="s">
        <v>26</v>
      </c>
      <c r="E29" s="5">
        <v>6</v>
      </c>
      <c r="F29" s="5" t="str">
        <f>_xlfn.XLOOKUP(C29,Sheet2!$A$2:$A$11,Sheet2!$B$2:$B$11)</f>
        <v>Monitor 27"</v>
      </c>
      <c r="G29" s="5" t="str">
        <f>_xlfn.XLOOKUP(C29,Sheet2!$A$2:$A$11,Sheet2!$C$2:$C$11)</f>
        <v>Electronics</v>
      </c>
      <c r="H29" s="9"/>
      <c r="I29" s="5"/>
      <c r="J29" s="1"/>
    </row>
    <row r="30" spans="1:10" ht="25.05" customHeight="1" x14ac:dyDescent="0.3">
      <c r="A30" s="5" t="s">
        <v>64</v>
      </c>
      <c r="B30" s="6">
        <v>45505</v>
      </c>
      <c r="C30" s="5" t="s">
        <v>43</v>
      </c>
      <c r="D30" s="5" t="s">
        <v>31</v>
      </c>
      <c r="E30" s="5">
        <v>14</v>
      </c>
      <c r="F30" s="5" t="str">
        <f>_xlfn.XLOOKUP(C30,Sheet2!$A$2:$A$11,Sheet2!$B$2:$B$11)</f>
        <v>Desk Lamp LED</v>
      </c>
      <c r="G30" s="5" t="str">
        <f>_xlfn.XLOOKUP(C30,Sheet2!$A$2:$A$11,Sheet2!$C$2:$C$11)</f>
        <v>Furniture</v>
      </c>
      <c r="H30" s="9"/>
      <c r="I30" s="5"/>
      <c r="J30" s="1"/>
    </row>
    <row r="31" spans="1:10" ht="25.05" customHeight="1" x14ac:dyDescent="0.3">
      <c r="A31" s="5" t="s">
        <v>65</v>
      </c>
      <c r="B31" s="6">
        <v>45514</v>
      </c>
      <c r="C31" s="5" t="s">
        <v>10</v>
      </c>
      <c r="D31" s="5" t="s">
        <v>11</v>
      </c>
      <c r="E31" s="5">
        <v>11</v>
      </c>
      <c r="F31" s="5" t="str">
        <f>_xlfn.XLOOKUP(C31,Sheet2!$A$2:$A$11,Sheet2!$B$2:$B$11)</f>
        <v>Laptop Pro</v>
      </c>
      <c r="G31" s="5" t="str">
        <f>_xlfn.XLOOKUP(C31,Sheet2!$A$2:$A$11,Sheet2!$C$2:$C$11)</f>
        <v>Electronics</v>
      </c>
      <c r="H31" s="9"/>
      <c r="I31" s="5"/>
      <c r="J31" s="1"/>
    </row>
    <row r="32" spans="1:10" ht="25.05" customHeight="1" x14ac:dyDescent="0.3">
      <c r="A32" s="5" t="s">
        <v>66</v>
      </c>
      <c r="B32" s="6">
        <v>45522</v>
      </c>
      <c r="C32" s="5" t="s">
        <v>15</v>
      </c>
      <c r="D32" s="5" t="s">
        <v>16</v>
      </c>
      <c r="E32" s="5">
        <v>9</v>
      </c>
      <c r="F32" s="5" t="str">
        <f>_xlfn.XLOOKUP(C32,Sheet2!$A$2:$A$11,Sheet2!$B$2:$B$11)</f>
        <v>Wireless Mouse</v>
      </c>
      <c r="G32" s="5" t="str">
        <f>_xlfn.XLOOKUP(C32,Sheet2!$A$2:$A$11,Sheet2!$C$2:$C$11)</f>
        <v>Accessories</v>
      </c>
      <c r="H32" s="9"/>
      <c r="I32" s="5"/>
      <c r="J32" s="1"/>
    </row>
    <row r="33" spans="1:10" ht="25.05" customHeight="1" x14ac:dyDescent="0.3">
      <c r="A33" s="5" t="s">
        <v>67</v>
      </c>
      <c r="B33" s="6">
        <v>45529</v>
      </c>
      <c r="C33" s="5" t="s">
        <v>20</v>
      </c>
      <c r="D33" s="5" t="s">
        <v>21</v>
      </c>
      <c r="E33" s="5">
        <v>5</v>
      </c>
      <c r="F33" s="5" t="str">
        <f>_xlfn.XLOOKUP(C33,Sheet2!$A$2:$A$11,Sheet2!$B$2:$B$11)</f>
        <v>Office Chair</v>
      </c>
      <c r="G33" s="5" t="str">
        <f>_xlfn.XLOOKUP(C33,Sheet2!$A$2:$A$11,Sheet2!$C$2:$C$11)</f>
        <v>Furniture</v>
      </c>
      <c r="H33" s="9"/>
      <c r="I33" s="5"/>
      <c r="J33" s="1"/>
    </row>
    <row r="34" spans="1:10" ht="25.05" customHeight="1" x14ac:dyDescent="0.3">
      <c r="A34" s="5" t="s">
        <v>68</v>
      </c>
      <c r="B34" s="6">
        <v>45547</v>
      </c>
      <c r="C34" s="5" t="s">
        <v>30</v>
      </c>
      <c r="D34" s="5" t="s">
        <v>31</v>
      </c>
      <c r="E34" s="5">
        <v>11</v>
      </c>
      <c r="F34" s="5" t="str">
        <f>_xlfn.XLOOKUP(C34,Sheet2!$A$2:$A$11,Sheet2!$B$2:$B$11)</f>
        <v>USB-C Hub</v>
      </c>
      <c r="G34" s="5" t="str">
        <f>_xlfn.XLOOKUP(C34,Sheet2!$A$2:$A$11,Sheet2!$C$2:$C$11)</f>
        <v>Accessories</v>
      </c>
      <c r="H34" s="9"/>
      <c r="I34" s="5"/>
      <c r="J34" s="1"/>
    </row>
    <row r="35" spans="1:10" ht="25.05" customHeight="1" x14ac:dyDescent="0.3">
      <c r="A35" s="5" t="s">
        <v>69</v>
      </c>
      <c r="B35" s="6">
        <v>45555</v>
      </c>
      <c r="C35" s="5" t="s">
        <v>34</v>
      </c>
      <c r="D35" s="5" t="s">
        <v>11</v>
      </c>
      <c r="E35" s="5">
        <v>4</v>
      </c>
      <c r="F35" s="5" t="str">
        <f>_xlfn.XLOOKUP(C35,Sheet2!$A$2:$A$11,Sheet2!$B$2:$B$11)</f>
        <v>Standing Desk</v>
      </c>
      <c r="G35" s="5" t="str">
        <f>_xlfn.XLOOKUP(C35,Sheet2!$A$2:$A$11,Sheet2!$C$2:$C$11)</f>
        <v>Furniture</v>
      </c>
      <c r="H35" s="9"/>
      <c r="I35" s="5"/>
      <c r="J35" s="1"/>
    </row>
    <row r="36" spans="1:10" ht="25.05" customHeight="1" x14ac:dyDescent="0.3">
      <c r="A36" s="5" t="s">
        <v>69</v>
      </c>
      <c r="B36" s="6">
        <v>45555</v>
      </c>
      <c r="C36" s="5" t="s">
        <v>34</v>
      </c>
      <c r="D36" s="5" t="s">
        <v>11</v>
      </c>
      <c r="E36" s="5">
        <v>4</v>
      </c>
      <c r="F36" s="5" t="str">
        <f>_xlfn.XLOOKUP(C36,Sheet2!$A$2:$A$11,Sheet2!$B$2:$B$11)</f>
        <v>Standing Desk</v>
      </c>
      <c r="G36" s="5" t="str">
        <f>_xlfn.XLOOKUP(C36,Sheet2!$A$2:$A$11,Sheet2!$C$2:$C$11)</f>
        <v>Furniture</v>
      </c>
      <c r="H36" s="9"/>
      <c r="I36" s="5"/>
      <c r="J36" s="1"/>
    </row>
    <row r="37" spans="1:10" ht="25.05" customHeight="1" x14ac:dyDescent="0.3">
      <c r="A37" s="5" t="s">
        <v>70</v>
      </c>
      <c r="B37" s="6">
        <v>45563</v>
      </c>
      <c r="C37" s="5" t="s">
        <v>37</v>
      </c>
      <c r="D37" s="5" t="s">
        <v>16</v>
      </c>
      <c r="E37" s="5">
        <v>3</v>
      </c>
      <c r="F37" s="5" t="str">
        <f>_xlfn.XLOOKUP(C37,Sheet2!$A$2:$A$11,Sheet2!$B$2:$B$11)</f>
        <v>Webcam HD</v>
      </c>
      <c r="G37" s="5" t="str">
        <f>_xlfn.XLOOKUP(C37,Sheet2!$A$2:$A$11,Sheet2!$C$2:$C$11)</f>
        <v>Electronics</v>
      </c>
      <c r="H37" s="9"/>
      <c r="I37" s="5"/>
      <c r="J37" s="1"/>
    </row>
    <row r="38" spans="1:10" ht="25.05" customHeight="1" x14ac:dyDescent="0.3">
      <c r="A38" s="5" t="s">
        <v>71</v>
      </c>
      <c r="B38" s="6">
        <v>45570</v>
      </c>
      <c r="C38" s="5" t="s">
        <v>52</v>
      </c>
      <c r="D38" s="5" t="s">
        <v>21</v>
      </c>
      <c r="E38" s="5">
        <v>13</v>
      </c>
      <c r="F38" s="5" t="str">
        <f>_xlfn.XLOOKUP(C38,Sheet2!$A$2:$A$11,Sheet2!$B$2:$B$11)</f>
        <v>Pen Drive 128GB</v>
      </c>
      <c r="G38" s="5" t="str">
        <f>_xlfn.XLOOKUP(C38,Sheet2!$A$2:$A$11,Sheet2!$C$2:$C$11)</f>
        <v>Accessories</v>
      </c>
      <c r="H38" s="9"/>
      <c r="I38" s="5"/>
      <c r="J38" s="1"/>
    </row>
    <row r="39" spans="1:10" ht="25.05" customHeight="1" x14ac:dyDescent="0.3">
      <c r="A39" s="5" t="s">
        <v>72</v>
      </c>
      <c r="B39" s="6">
        <v>45580</v>
      </c>
      <c r="C39" s="5" t="s">
        <v>40</v>
      </c>
      <c r="D39" s="5" t="s">
        <v>26</v>
      </c>
      <c r="E39" s="5">
        <v>4</v>
      </c>
      <c r="F39" s="5" t="str">
        <f>_xlfn.XLOOKUP(C39,Sheet2!$A$2:$A$11,Sheet2!$B$2:$B$11)</f>
        <v>Monitor 27"</v>
      </c>
      <c r="G39" s="5" t="str">
        <f>_xlfn.XLOOKUP(C39,Sheet2!$A$2:$A$11,Sheet2!$C$2:$C$11)</f>
        <v>Electronics</v>
      </c>
      <c r="H39" s="9"/>
      <c r="I39" s="5"/>
      <c r="J39" s="1"/>
    </row>
    <row r="40" spans="1:10" ht="25.05" customHeight="1" x14ac:dyDescent="0.3">
      <c r="A40" s="5" t="s">
        <v>73</v>
      </c>
      <c r="B40" s="6">
        <v>45587</v>
      </c>
      <c r="C40" s="5" t="s">
        <v>43</v>
      </c>
      <c r="D40" s="5" t="s">
        <v>31</v>
      </c>
      <c r="E40" s="5">
        <v>12</v>
      </c>
      <c r="F40" s="5" t="str">
        <f>_xlfn.XLOOKUP(C40,Sheet2!$A$2:$A$11,Sheet2!$B$2:$B$11)</f>
        <v>Desk Lamp LED</v>
      </c>
      <c r="G40" s="5" t="str">
        <f>_xlfn.XLOOKUP(C40,Sheet2!$A$2:$A$11,Sheet2!$C$2:$C$11)</f>
        <v>Furniture</v>
      </c>
      <c r="H40" s="9"/>
      <c r="I40" s="5"/>
      <c r="J40" s="1"/>
    </row>
    <row r="41" spans="1:10" ht="25.05" customHeight="1" x14ac:dyDescent="0.3">
      <c r="A41" s="5" t="s">
        <v>74</v>
      </c>
      <c r="B41" s="6">
        <v>45597</v>
      </c>
      <c r="C41" s="5" t="s">
        <v>10</v>
      </c>
      <c r="D41" s="5" t="s">
        <v>11</v>
      </c>
      <c r="E41" s="5">
        <v>12</v>
      </c>
      <c r="F41" s="5" t="str">
        <f>_xlfn.XLOOKUP(C41,Sheet2!$A$2:$A$11,Sheet2!$B$2:$B$11)</f>
        <v>Laptop Pro</v>
      </c>
      <c r="G41" s="5" t="str">
        <f>_xlfn.XLOOKUP(C41,Sheet2!$A$2:$A$11,Sheet2!$C$2:$C$11)</f>
        <v>Electronics</v>
      </c>
      <c r="H41" s="9"/>
      <c r="I41" s="5"/>
      <c r="J4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9DB3D-E637-4A47-8B07-2351B105F879}">
  <dimension ref="A1:F11"/>
  <sheetViews>
    <sheetView workbookViewId="0">
      <selection activeCell="H11" sqref="H11"/>
    </sheetView>
  </sheetViews>
  <sheetFormatPr defaultRowHeight="14.4" x14ac:dyDescent="0.3"/>
  <cols>
    <col min="1" max="1" width="11.6640625" customWidth="1"/>
    <col min="2" max="2" width="17.88671875" customWidth="1"/>
    <col min="3" max="3" width="14.77734375" customWidth="1"/>
    <col min="4" max="4" width="13.33203125" customWidth="1"/>
    <col min="5" max="5" width="13.6640625" customWidth="1"/>
    <col min="6" max="6" width="9" bestFit="1" customWidth="1"/>
  </cols>
  <sheetData>
    <row r="1" spans="1:6" ht="25.05" customHeight="1" x14ac:dyDescent="0.3">
      <c r="A1" s="2" t="s">
        <v>2</v>
      </c>
      <c r="B1" s="2" t="s">
        <v>5</v>
      </c>
      <c r="C1" s="2" t="s">
        <v>6</v>
      </c>
      <c r="D1" s="2" t="s">
        <v>7</v>
      </c>
      <c r="E1" s="2" t="s">
        <v>75</v>
      </c>
      <c r="F1" s="7"/>
    </row>
    <row r="2" spans="1:6" ht="25.05" customHeight="1" x14ac:dyDescent="0.3">
      <c r="A2" s="3" t="s">
        <v>10</v>
      </c>
      <c r="B2" s="3" t="s">
        <v>12</v>
      </c>
      <c r="C2" s="3" t="s">
        <v>13</v>
      </c>
      <c r="D2" s="3" t="s">
        <v>76</v>
      </c>
      <c r="E2" s="8">
        <v>55000</v>
      </c>
    </row>
    <row r="3" spans="1:6" ht="25.05" customHeight="1" x14ac:dyDescent="0.3">
      <c r="A3" s="3" t="s">
        <v>15</v>
      </c>
      <c r="B3" s="3" t="s">
        <v>17</v>
      </c>
      <c r="C3" s="3" t="s">
        <v>18</v>
      </c>
      <c r="D3" s="3" t="s">
        <v>76</v>
      </c>
      <c r="E3" s="8">
        <v>1200</v>
      </c>
    </row>
    <row r="4" spans="1:6" ht="25.05" customHeight="1" x14ac:dyDescent="0.3">
      <c r="A4" s="3" t="s">
        <v>20</v>
      </c>
      <c r="B4" s="3" t="s">
        <v>22</v>
      </c>
      <c r="C4" s="3" t="s">
        <v>23</v>
      </c>
      <c r="D4" s="3" t="s">
        <v>77</v>
      </c>
      <c r="E4" s="8">
        <v>15000</v>
      </c>
    </row>
    <row r="5" spans="1:6" ht="25.05" customHeight="1" x14ac:dyDescent="0.3">
      <c r="A5" s="3" t="s">
        <v>25</v>
      </c>
      <c r="B5" s="3" t="s">
        <v>27</v>
      </c>
      <c r="C5" s="3" t="s">
        <v>28</v>
      </c>
      <c r="D5" s="3" t="s">
        <v>78</v>
      </c>
      <c r="E5" s="3">
        <v>450</v>
      </c>
    </row>
    <row r="6" spans="1:6" ht="25.05" customHeight="1" x14ac:dyDescent="0.3">
      <c r="A6" s="3" t="s">
        <v>30</v>
      </c>
      <c r="B6" s="3" t="s">
        <v>32</v>
      </c>
      <c r="C6" s="3" t="s">
        <v>18</v>
      </c>
      <c r="D6" s="3" t="s">
        <v>76</v>
      </c>
      <c r="E6" s="8">
        <v>3500</v>
      </c>
    </row>
    <row r="7" spans="1:6" ht="25.05" customHeight="1" x14ac:dyDescent="0.3">
      <c r="A7" s="3" t="s">
        <v>34</v>
      </c>
      <c r="B7" s="3" t="s">
        <v>35</v>
      </c>
      <c r="C7" s="3" t="s">
        <v>23</v>
      </c>
      <c r="D7" s="3" t="s">
        <v>77</v>
      </c>
      <c r="E7" s="8">
        <v>28000</v>
      </c>
    </row>
    <row r="8" spans="1:6" ht="25.05" customHeight="1" x14ac:dyDescent="0.3">
      <c r="A8" s="3" t="s">
        <v>37</v>
      </c>
      <c r="B8" s="3" t="s">
        <v>38</v>
      </c>
      <c r="C8" s="3" t="s">
        <v>13</v>
      </c>
      <c r="D8" s="3" t="s">
        <v>76</v>
      </c>
      <c r="E8" s="8">
        <v>4500</v>
      </c>
    </row>
    <row r="9" spans="1:6" ht="25.05" customHeight="1" x14ac:dyDescent="0.3">
      <c r="A9" s="3" t="s">
        <v>52</v>
      </c>
      <c r="B9" s="3" t="s">
        <v>53</v>
      </c>
      <c r="C9" s="3" t="s">
        <v>18</v>
      </c>
      <c r="D9" s="3" t="s">
        <v>79</v>
      </c>
      <c r="E9" s="3">
        <v>850</v>
      </c>
    </row>
    <row r="10" spans="1:6" ht="25.05" customHeight="1" x14ac:dyDescent="0.3">
      <c r="A10" s="3" t="s">
        <v>40</v>
      </c>
      <c r="B10" s="3" t="s">
        <v>41</v>
      </c>
      <c r="C10" s="3" t="s">
        <v>13</v>
      </c>
      <c r="D10" s="3" t="s">
        <v>76</v>
      </c>
      <c r="E10" s="8">
        <v>32000</v>
      </c>
    </row>
    <row r="11" spans="1:6" ht="25.05" customHeight="1" x14ac:dyDescent="0.3">
      <c r="A11" s="3" t="s">
        <v>43</v>
      </c>
      <c r="B11" s="3" t="s">
        <v>44</v>
      </c>
      <c r="C11" s="3" t="s">
        <v>23</v>
      </c>
      <c r="D11" s="3" t="s">
        <v>77</v>
      </c>
      <c r="E11" s="8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</dc:creator>
  <cp:lastModifiedBy>LUKE</cp:lastModifiedBy>
  <dcterms:created xsi:type="dcterms:W3CDTF">2026-07-15T16:03:42Z</dcterms:created>
  <dcterms:modified xsi:type="dcterms:W3CDTF">2026-07-15T16:42:23Z</dcterms:modified>
</cp:coreProperties>
</file>